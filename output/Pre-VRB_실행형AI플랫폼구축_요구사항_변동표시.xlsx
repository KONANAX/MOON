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① 표지·심의결과" sheetId="1" state="visible" r:id="rId3"/>
    <sheet name="② 입찰 적격성" sheetId="2" state="visible" r:id="rId4"/>
    <sheet name="③ 요구사항 검토" sheetId="3" state="visible" r:id="rId5"/>
    <sheet name="④ 리스크 및 고려사항" sheetId="4" state="visible" r:id="rId6"/>
    <sheet name="⑤ 확인사항·질의" sheetId="5" state="visible" r:id="rId7"/>
    <sheet name="⑥ 손익 시나리오" sheetId="6" state="visible" r:id="rId8"/>
    <sheet name="⑦ 작성 가이드" sheetId="7" state="visible" r:id="rId9"/>
    <sheet name="⑧ 작성 예시" sheetId="8" state="visible" r:id="rId10"/>
    <sheet name="⑨ 변동사항(타 작성본 비교)" sheetId="9" state="visible" r:id="rId11"/>
  </sheets>
  <definedNames>
    <definedName function="false" hidden="false" localSheetId="2" name="_xlnm.Print_Titles" vbProcedure="false">'③ 요구사항 검토'!$4:$5</definedName>
    <definedName function="false" hidden="true" localSheetId="2" name="_xlnm._FilterDatabase" vbProcedure="false">'③ 요구사항 검토'!$A$5:$AC$300</definedName>
    <definedName function="false" hidden="true" localSheetId="3" name="_xlnm._FilterDatabase" vbProcedure="false">'④ 리스크 및 고려사항'!$A$4:$M$54</definedName>
    <definedName function="false" hidden="true" localSheetId="4" name="_xlnm._FilterDatabase" vbProcedure="false">'⑤ 확인사항·질의'!$A$4:$K$54</definedName>
    <definedName function="false" hidden="true" localSheetId="8" name="_xlnm._FilterDatabase" vbProcedure="false">'⑨ 변동사항(타 작성본 비교)'!$A$5:$G$65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</t>
        </r>
        <r>
          <rPr>
            <sz val="10"/>
            <rFont val="WenQuanYi Zen Hei"/>
            <family val="2"/>
          </rPr>
          <t xml:space="preserve">기능</t>
        </r>
        <r>
          <rPr>
            <sz val="10"/>
            <rFont val="Arial"/>
            <family val="2"/>
          </rPr>
          <t xml:space="preserve">] Pre-VRB </t>
        </r>
        <r>
          <rPr>
            <sz val="10"/>
            <rFont val="WenQuanYi Zen Hei"/>
            <family val="2"/>
          </rPr>
          <t xml:space="preserve">공통시트 — 한국남부발전 실행형 </t>
        </r>
        <r>
          <rPr>
            <sz val="10"/>
            <rFont val="Arial"/>
            <family val="2"/>
          </rPr>
          <t xml:space="preserve">AI </t>
        </r>
        <r>
          <rPr>
            <sz val="10"/>
            <rFont val="WenQuanYi Zen Hei"/>
            <family val="2"/>
          </rPr>
          <t xml:space="preserve">플랫폼 구축 용역   </t>
        </r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서식 </t>
        </r>
        <r>
          <rPr>
            <sz val="10"/>
            <rFont val="Arial"/>
            <family val="2"/>
          </rPr>
          <t xml:space="preserve">V2.0]</t>
        </r>
      </text>
    </comment>
    <comment ref="B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스레드 댓글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WenQuanYi Zen Hei"/>
            <family val="2"/>
          </rPr>
          <t xml:space="preserve">사용 중인 버전의 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WenQuanYi Zen Hei"/>
            <family val="2"/>
          </rPr>
          <t xml:space="preserve">에서 이 스레드 댓글을 읽을 수 있지만 파일을 이후 버전의 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WenQuanYi Zen Hei"/>
            <family val="2"/>
          </rPr>
          <t xml:space="preserve">에서 열면 편집 내용이 모두 제거됩니다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자세한 정보</t>
        </r>
        <r>
          <rPr>
            <sz val="10"/>
            <rFont val="Arial"/>
            <family val="2"/>
          </rPr>
          <t xml:space="preserve">: https://go.microsoft.com/fwlink/?linkid=870924.
</t>
        </r>
        <r>
          <rPr>
            <sz val="10"/>
            <rFont val="WenQuanYi Zen Hei"/>
            <family val="2"/>
          </rPr>
          <t xml:space="preserve">댓글</t>
        </r>
        <r>
          <rPr>
            <sz val="10"/>
            <rFont val="Arial"/>
            <family val="2"/>
          </rPr>
          <t xml:space="preserve">:
    </t>
        </r>
        <r>
          <rPr>
            <sz val="10"/>
            <rFont val="WenQuanYi Zen Hei"/>
            <family val="2"/>
          </rPr>
          <t xml:space="preserve">부가세 여부 기입 필요</t>
        </r>
      </text>
    </comment>
    <comment ref="B1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스레드 댓글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WenQuanYi Zen Hei"/>
            <family val="2"/>
          </rPr>
          <t xml:space="preserve">사용 중인 버전의 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WenQuanYi Zen Hei"/>
            <family val="2"/>
          </rPr>
          <t xml:space="preserve">에서 이 스레드 댓글을 읽을 수 있지만 파일을 이후 버전의 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WenQuanYi Zen Hei"/>
            <family val="2"/>
          </rPr>
          <t xml:space="preserve">에서 열면 편집 내용이 모두 제거됩니다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자세한 정보</t>
        </r>
        <r>
          <rPr>
            <sz val="10"/>
            <rFont val="Arial"/>
            <family val="2"/>
          </rPr>
          <t xml:space="preserve">: https://go.microsoft.com/fwlink/?linkid=870924.
</t>
        </r>
        <r>
          <rPr>
            <sz val="10"/>
            <rFont val="WenQuanYi Zen Hei"/>
            <family val="2"/>
          </rPr>
          <t xml:space="preserve">댓글</t>
        </r>
        <r>
          <rPr>
            <sz val="10"/>
            <rFont val="Arial"/>
            <family val="2"/>
          </rPr>
          <t xml:space="preserve">:
    </t>
        </r>
        <r>
          <rPr>
            <sz val="10"/>
            <rFont val="WenQuanYi Zen Hei"/>
            <family val="2"/>
          </rPr>
          <t xml:space="preserve">입찰참가자격등록 마감이 아닌지</t>
        </r>
      </text>
    </comment>
    <comment ref="B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</t>
        </r>
        <r>
          <rPr>
            <sz val="10"/>
            <rFont val="WenQuanYi Zen Hei"/>
            <family val="2"/>
          </rPr>
          <t xml:space="preserve">제품 활용률 </t>
        </r>
        <r>
          <rPr>
            <sz val="10"/>
            <rFont val="Arial"/>
            <family val="2"/>
          </rPr>
          <t xml:space="preserve">(F1+F2+F3)</t>
        </r>
      </text>
    </comment>
    <comment ref="B4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</t>
        </r>
        <r>
          <rPr>
            <sz val="10"/>
            <rFont val="WenQuanYi Zen Hei"/>
            <family val="2"/>
          </rPr>
          <t xml:space="preserve">참고</t>
        </r>
        <r>
          <rPr>
            <sz val="10"/>
            <rFont val="Arial"/>
            <family val="2"/>
          </rPr>
          <t xml:space="preserve">] </t>
        </r>
        <r>
          <rPr>
            <sz val="10"/>
            <rFont val="WenQuanYi Zen Hei"/>
            <family val="2"/>
          </rPr>
          <t xml:space="preserve">영업</t>
        </r>
        <r>
          <rPr>
            <sz val="10"/>
            <rFont val="Arial"/>
            <family val="2"/>
          </rPr>
          <t xml:space="preserve">(BD) </t>
        </r>
        <r>
          <rPr>
            <sz val="10"/>
            <rFont val="WenQuanYi Zen Hei"/>
            <family val="2"/>
          </rPr>
          <t xml:space="preserve">사전산정 — 본 건 미적용 </t>
        </r>
        <r>
          <rPr>
            <sz val="10"/>
            <rFont val="Arial"/>
            <family val="2"/>
          </rPr>
          <t xml:space="preserve">(③</t>
        </r>
        <r>
          <rPr>
            <sz val="10"/>
            <rFont val="WenQuanYi Zen Hei"/>
            <family val="2"/>
          </rPr>
          <t xml:space="preserve">시트 </t>
        </r>
        <r>
          <rPr>
            <sz val="10"/>
            <rFont val="Arial"/>
            <family val="2"/>
          </rPr>
          <t xml:space="preserve">H</t>
        </r>
        <r>
          <rPr>
            <sz val="10"/>
            <rFont val="WenQuanYi Zen Hei"/>
            <family val="2"/>
          </rPr>
          <t xml:space="preserve">열 입력 영역 공란</t>
        </r>
        <r>
          <rPr>
            <sz val="10"/>
            <rFont val="Arial"/>
            <family val="2"/>
          </rPr>
          <t xml:space="preserve">)</t>
        </r>
      </text>
    </comment>
    <comment ref="C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</t>
        </r>
        <r>
          <rPr>
            <sz val="10"/>
            <rFont val="WenQuanYi Zen Hei"/>
            <family val="2"/>
          </rPr>
          <t xml:space="preserve">실행형 </t>
        </r>
        <r>
          <rPr>
            <sz val="10"/>
            <rFont val="Arial"/>
            <family val="2"/>
          </rPr>
          <t xml:space="preserve">AI </t>
        </r>
        <r>
          <rPr>
            <sz val="10"/>
            <rFont val="WenQuanYi Zen Hei"/>
            <family val="2"/>
          </rPr>
          <t xml:space="preserve">플랫폼 구축 용역</t>
        </r>
      </text>
    </comment>
    <comment ref="C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</t>
        </r>
        <r>
          <rPr>
            <sz val="10"/>
            <rFont val="WenQuanYi Zen Hei"/>
            <family val="2"/>
          </rPr>
          <t xml:space="preserve">공공 </t>
        </r>
        <r>
          <rPr>
            <sz val="10"/>
            <rFont val="Arial"/>
            <family val="2"/>
          </rPr>
          <t xml:space="preserve">SW </t>
        </r>
        <r>
          <rPr>
            <sz val="10"/>
            <rFont val="WenQuanYi Zen Hei"/>
            <family val="2"/>
          </rPr>
          <t xml:space="preserve">구축 용역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생성형 </t>
        </r>
        <r>
          <rPr>
            <sz val="10"/>
            <rFont val="Arial"/>
            <family val="2"/>
          </rPr>
          <t xml:space="preserve">AI </t>
        </r>
        <r>
          <rPr>
            <sz val="10"/>
            <rFont val="WenQuanYi Zen Hei"/>
            <family val="2"/>
          </rPr>
          <t xml:space="preserve">플랫폼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서비스 고도화</t>
        </r>
        <r>
          <rPr>
            <sz val="10"/>
            <rFont val="Arial"/>
            <family val="2"/>
          </rPr>
          <t xml:space="preserve">, RAG </t>
        </r>
        <r>
          <rPr>
            <sz val="10"/>
            <rFont val="WenQuanYi Zen Hei"/>
            <family val="2"/>
          </rPr>
          <t xml:space="preserve">지식검색 고도화</t>
        </r>
        <r>
          <rPr>
            <sz val="10"/>
            <rFont val="Arial"/>
            <family val="2"/>
          </rPr>
          <t xml:space="preserve">, NPU </t>
        </r>
        <r>
          <rPr>
            <sz val="10"/>
            <rFont val="WenQuanYi Zen Hei"/>
            <family val="2"/>
          </rPr>
          <t xml:space="preserve">기반 음성 </t>
        </r>
        <r>
          <rPr>
            <sz val="10"/>
            <rFont val="Arial"/>
            <family val="2"/>
          </rPr>
          <t xml:space="preserve">AI </t>
        </r>
        <r>
          <rPr>
            <sz val="10"/>
            <rFont val="WenQuanYi Zen Hei"/>
            <family val="2"/>
          </rPr>
          <t xml:space="preserve">구축</t>
        </r>
        <r>
          <rPr>
            <sz val="10"/>
            <rFont val="Arial"/>
            <family val="2"/>
          </rPr>
          <t xml:space="preserve">)</t>
        </r>
      </text>
    </comment>
    <comment ref="C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RFP </t>
        </r>
        <r>
          <rPr>
            <sz val="10"/>
            <rFont val="WenQuanYi Zen Hei"/>
            <family val="2"/>
          </rPr>
          <t xml:space="preserve">초안 미기재</t>
        </r>
        <r>
          <rPr>
            <sz val="10"/>
            <rFont val="Arial"/>
            <family val="2"/>
          </rPr>
          <t xml:space="preserve">(000,000,000</t>
        </r>
        <r>
          <rPr>
            <sz val="10"/>
            <rFont val="WenQuanYi Zen Hei"/>
            <family val="2"/>
          </rPr>
          <t xml:space="preserve">원으로 표기</t>
        </r>
        <r>
          <rPr>
            <sz val="10"/>
            <rFont val="Arial"/>
            <family val="2"/>
          </rPr>
          <t xml:space="preserve">) — </t>
        </r>
        <r>
          <rPr>
            <sz val="10"/>
            <rFont val="WenQuanYi Zen Hei"/>
            <family val="2"/>
          </rPr>
          <t xml:space="preserve">본공고 확정 후 반영</t>
        </r>
      </text>
    </comment>
    <comment ref="C1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RFP </t>
        </r>
        <r>
          <rPr>
            <sz val="10"/>
            <rFont val="WenQuanYi Zen Hei"/>
            <family val="2"/>
          </rPr>
          <t xml:space="preserve">초안 단계 — 본공고 미공고</t>
        </r>
      </text>
    </comment>
    <comment ref="C1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RFP </t>
        </r>
        <r>
          <rPr>
            <sz val="10"/>
            <rFont val="WenQuanYi Zen Hei"/>
            <family val="2"/>
          </rPr>
          <t xml:space="preserve">초안 미기재 — 본공고 확정 후 반영</t>
        </r>
      </text>
    </comment>
    <comment ref="C1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</t>
        </r>
        <r>
          <rPr>
            <sz val="10"/>
            <rFont val="WenQuanYi Zen Hei"/>
            <family val="2"/>
          </rPr>
          <t xml:space="preserve">협상에 의한 계약 — 기술평가 기준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협상적격 점수는 </t>
        </r>
        <r>
          <rPr>
            <sz val="10"/>
            <rFont val="Arial"/>
            <family val="2"/>
          </rPr>
          <t xml:space="preserve">RFP </t>
        </r>
        <r>
          <rPr>
            <sz val="10"/>
            <rFont val="WenQuanYi Zen Hei"/>
            <family val="2"/>
          </rPr>
          <t xml:space="preserve">초안 미기재 — 본공고 확정 후 반영</t>
        </r>
      </text>
    </comment>
    <comment ref="C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(</t>
        </r>
        <r>
          <rPr>
            <sz val="10"/>
            <rFont val="WenQuanYi Zen Hei"/>
            <family val="2"/>
          </rPr>
          <t xml:space="preserve">공란</t>
        </r>
        <r>
          <rPr>
            <sz val="10"/>
            <rFont val="Arial"/>
            <family val="2"/>
          </rPr>
          <t xml:space="preserve">)</t>
        </r>
      </text>
    </comment>
    <comment ref="C1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(</t>
        </r>
        <r>
          <rPr>
            <sz val="10"/>
            <rFont val="WenQuanYi Zen Hei"/>
            <family val="2"/>
          </rPr>
          <t xml:space="preserve">공란</t>
        </r>
        <r>
          <rPr>
            <sz val="10"/>
            <rFont val="Arial"/>
            <family val="2"/>
          </rPr>
          <t xml:space="preserve">)</t>
        </r>
      </text>
    </comment>
    <comment ref="C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 </t>
        </r>
        <r>
          <rPr>
            <sz val="10"/>
            <rFont val="WenQuanYi Zen Hei"/>
            <family val="2"/>
          </rPr>
          <t xml:space="preserve">수식</t>
        </r>
        <r>
          <rPr>
            <sz val="10"/>
            <rFont val="Arial"/>
            <family val="2"/>
          </rPr>
          <t xml:space="preserve">]
=TEXT('③-1 </t>
        </r>
        <r>
          <rPr>
            <sz val="10"/>
            <rFont val="WenQuanYi Zen Hei"/>
            <family val="2"/>
          </rPr>
          <t xml:space="preserve">비율 산정</t>
        </r>
        <r>
          <rPr>
            <sz val="10"/>
            <rFont val="Arial"/>
            <family val="2"/>
          </rPr>
          <t xml:space="preserve">'!D26,"0.0%")&amp;"  (</t>
        </r>
        <r>
          <rPr>
            <sz val="10"/>
            <rFont val="WenQuanYi Zen Hei"/>
            <family val="2"/>
          </rPr>
          <t xml:space="preserve">즉시대응 </t>
        </r>
        <r>
          <rPr>
            <sz val="10"/>
            <rFont val="Arial"/>
            <family val="2"/>
          </rPr>
          <t xml:space="preserve">"&amp;TEXT('③-1 </t>
        </r>
        <r>
          <rPr>
            <sz val="10"/>
            <rFont val="WenQuanYi Zen Hei"/>
            <family val="2"/>
          </rPr>
          <t xml:space="preserve">비율 산정</t>
        </r>
        <r>
          <rPr>
            <sz val="10"/>
            <rFont val="Arial"/>
            <family val="2"/>
          </rPr>
          <t xml:space="preserve">'!D27,"0.0%")&amp;")"
※ </t>
        </r>
        <r>
          <rPr>
            <sz val="10"/>
            <rFont val="WenQuanYi Zen Hei"/>
            <family val="2"/>
          </rPr>
          <t xml:space="preserve">양식 버전</t>
        </r>
        <r>
          <rPr>
            <sz val="10"/>
            <rFont val="Arial"/>
            <family val="2"/>
          </rPr>
          <t xml:space="preserve">(V2.0) </t>
        </r>
        <r>
          <rPr>
            <sz val="10"/>
            <rFont val="WenQuanYi Zen Hei"/>
            <family val="2"/>
          </rPr>
          <t xml:space="preserve">차이로 참조 컬럼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구성이 다름</t>
        </r>
      </text>
    </comment>
    <comment ref="C3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 </t>
        </r>
        <r>
          <rPr>
            <sz val="10"/>
            <rFont val="WenQuanYi Zen Hei"/>
            <family val="2"/>
          </rPr>
          <t xml:space="preserve">수식</t>
        </r>
        <r>
          <rPr>
            <sz val="10"/>
            <rFont val="Arial"/>
            <family val="2"/>
          </rPr>
          <t xml:space="preserve">]
=SUM('③ </t>
        </r>
        <r>
          <rPr>
            <sz val="10"/>
            <rFont val="WenQuanYi Zen Hei"/>
            <family val="2"/>
          </rPr>
          <t xml:space="preserve">요구사항 검토</t>
        </r>
        <r>
          <rPr>
            <sz val="10"/>
            <rFont val="Arial"/>
            <family val="2"/>
          </rPr>
          <t xml:space="preserve">'!Q6:Q268)+SUM('③ </t>
        </r>
        <r>
          <rPr>
            <sz val="10"/>
            <rFont val="WenQuanYi Zen Hei"/>
            <family val="2"/>
          </rPr>
          <t xml:space="preserve">요구사항 검토</t>
        </r>
        <r>
          <rPr>
            <sz val="10"/>
            <rFont val="Arial"/>
            <family val="2"/>
          </rPr>
          <t xml:space="preserve">'!R6:R268)+SUM('③ </t>
        </r>
        <r>
          <rPr>
            <sz val="10"/>
            <rFont val="WenQuanYi Zen Hei"/>
            <family val="2"/>
          </rPr>
          <t xml:space="preserve">요구사항 검토</t>
        </r>
        <r>
          <rPr>
            <sz val="10"/>
            <rFont val="Arial"/>
            <family val="2"/>
          </rPr>
          <t xml:space="preserve">'!T6:T268)
※ </t>
        </r>
        <r>
          <rPr>
            <sz val="10"/>
            <rFont val="WenQuanYi Zen Hei"/>
            <family val="2"/>
          </rPr>
          <t xml:space="preserve">양식 버전</t>
        </r>
        <r>
          <rPr>
            <sz val="10"/>
            <rFont val="Arial"/>
            <family val="2"/>
          </rPr>
          <t xml:space="preserve">(V2.0) </t>
        </r>
        <r>
          <rPr>
            <sz val="10"/>
            <rFont val="WenQuanYi Zen Hei"/>
            <family val="2"/>
          </rPr>
          <t xml:space="preserve">차이로 참조 컬럼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구성이 다름</t>
        </r>
      </text>
    </comment>
    <comment ref="C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 </t>
        </r>
        <r>
          <rPr>
            <sz val="10"/>
            <rFont val="WenQuanYi Zen Hei"/>
            <family val="2"/>
          </rPr>
          <t xml:space="preserve">수식</t>
        </r>
        <r>
          <rPr>
            <sz val="10"/>
            <rFont val="Arial"/>
            <family val="2"/>
          </rPr>
          <t xml:space="preserve">]
=SUM('③ </t>
        </r>
        <r>
          <rPr>
            <sz val="10"/>
            <rFont val="WenQuanYi Zen Hei"/>
            <family val="2"/>
          </rPr>
          <t xml:space="preserve">요구사항 검토</t>
        </r>
        <r>
          <rPr>
            <sz val="10"/>
            <rFont val="Arial"/>
            <family val="2"/>
          </rPr>
          <t xml:space="preserve">'!S6:S268)
※ </t>
        </r>
        <r>
          <rPr>
            <sz val="10"/>
            <rFont val="WenQuanYi Zen Hei"/>
            <family val="2"/>
          </rPr>
          <t xml:space="preserve">양식 버전</t>
        </r>
        <r>
          <rPr>
            <sz val="10"/>
            <rFont val="Arial"/>
            <family val="2"/>
          </rPr>
          <t xml:space="preserve">(V2.0) </t>
        </r>
        <r>
          <rPr>
            <sz val="10"/>
            <rFont val="WenQuanYi Zen Hei"/>
            <family val="2"/>
          </rPr>
          <t xml:space="preserve">차이로 참조 컬럼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구성이 다름</t>
        </r>
      </text>
    </comment>
    <comment ref="C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 </t>
        </r>
        <r>
          <rPr>
            <sz val="10"/>
            <rFont val="WenQuanYi Zen Hei"/>
            <family val="2"/>
          </rPr>
          <t xml:space="preserve">수식</t>
        </r>
        <r>
          <rPr>
            <sz val="10"/>
            <rFont val="Arial"/>
            <family val="2"/>
          </rPr>
          <t xml:space="preserve">]
=SUM('③ </t>
        </r>
        <r>
          <rPr>
            <sz val="10"/>
            <rFont val="WenQuanYi Zen Hei"/>
            <family val="2"/>
          </rPr>
          <t xml:space="preserve">요구사항 검토</t>
        </r>
        <r>
          <rPr>
            <sz val="10"/>
            <rFont val="Arial"/>
            <family val="2"/>
          </rPr>
          <t xml:space="preserve">'!Y6:Y268)
※ </t>
        </r>
        <r>
          <rPr>
            <sz val="10"/>
            <rFont val="WenQuanYi Zen Hei"/>
            <family val="2"/>
          </rPr>
          <t xml:space="preserve">양식 버전</t>
        </r>
        <r>
          <rPr>
            <sz val="10"/>
            <rFont val="Arial"/>
            <family val="2"/>
          </rPr>
          <t xml:space="preserve">(V2.0) </t>
        </r>
        <r>
          <rPr>
            <sz val="10"/>
            <rFont val="WenQuanYi Zen Hei"/>
            <family val="2"/>
          </rPr>
          <t xml:space="preserve">차이로 참조 컬럼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구성이 다름</t>
        </r>
      </text>
    </comment>
    <comment ref="C4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 </t>
        </r>
        <r>
          <rPr>
            <sz val="10"/>
            <rFont val="WenQuanYi Zen Hei"/>
            <family val="2"/>
          </rPr>
          <t xml:space="preserve">수식</t>
        </r>
        <r>
          <rPr>
            <sz val="10"/>
            <rFont val="Arial"/>
            <family val="2"/>
          </rPr>
          <t xml:space="preserve">]
None
※ </t>
        </r>
        <r>
          <rPr>
            <sz val="10"/>
            <rFont val="WenQuanYi Zen Hei"/>
            <family val="2"/>
          </rPr>
          <t xml:space="preserve">양식 버전</t>
        </r>
        <r>
          <rPr>
            <sz val="10"/>
            <rFont val="Arial"/>
            <family val="2"/>
          </rPr>
          <t xml:space="preserve">(V2.0) </t>
        </r>
        <r>
          <rPr>
            <sz val="10"/>
            <rFont val="WenQuanYi Zen Hei"/>
            <family val="2"/>
          </rPr>
          <t xml:space="preserve">차이로 참조 컬럼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구성이 다름</t>
        </r>
      </text>
    </comment>
    <comment ref="D1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스레드 댓글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WenQuanYi Zen Hei"/>
            <family val="2"/>
          </rPr>
          <t xml:space="preserve">사용 중인 버전의 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WenQuanYi Zen Hei"/>
            <family val="2"/>
          </rPr>
          <t xml:space="preserve">에서 이 스레드 댓글을 읽을 수 있지만 파일을 이후 버전의 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WenQuanYi Zen Hei"/>
            <family val="2"/>
          </rPr>
          <t xml:space="preserve">에서 열면 편집 내용이 모두 제거됩니다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자세한 정보</t>
        </r>
        <r>
          <rPr>
            <sz val="10"/>
            <rFont val="Arial"/>
            <family val="2"/>
          </rPr>
          <t xml:space="preserve">: https://go.microsoft.com/fwlink/?linkid=870924.
</t>
        </r>
        <r>
          <rPr>
            <sz val="10"/>
            <rFont val="WenQuanYi Zen Hei"/>
            <family val="2"/>
          </rPr>
          <t xml:space="preserve">댓글</t>
        </r>
        <r>
          <rPr>
            <sz val="10"/>
            <rFont val="Arial"/>
            <family val="2"/>
          </rPr>
          <t xml:space="preserve">:
    </t>
        </r>
        <r>
          <rPr>
            <sz val="10"/>
            <rFont val="WenQuanYi Zen Hei"/>
            <family val="2"/>
          </rPr>
          <t xml:space="preserve">사전공고 마감일 의미가 아니면 해당 항목은 의미 없을 것으로 판단</t>
        </r>
      </text>
    </comment>
    <comment ref="D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</t>
        </r>
        <r>
          <rPr>
            <sz val="10"/>
            <rFont val="WenQuanYi Zen Hei"/>
            <family val="2"/>
          </rPr>
          <t xml:space="preserve">개발 구분 비율 </t>
        </r>
        <r>
          <rPr>
            <sz val="10"/>
            <rFont val="Arial"/>
            <family val="2"/>
          </rPr>
          <t xml:space="preserve">(D1/D2/D3)</t>
        </r>
      </text>
    </comment>
    <comment ref="D4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(</t>
        </r>
        <r>
          <rPr>
            <sz val="10"/>
            <rFont val="WenQuanYi Zen Hei"/>
            <family val="2"/>
          </rPr>
          <t xml:space="preserve">공란</t>
        </r>
        <r>
          <rPr>
            <sz val="10"/>
            <rFont val="Arial"/>
            <family val="2"/>
          </rPr>
          <t xml:space="preserve">)</t>
        </r>
      </text>
    </comment>
    <comment ref="E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</t>
        </r>
        <r>
          <rPr>
            <sz val="10"/>
            <rFont val="WenQuanYi Zen Hei"/>
            <family val="2"/>
          </rPr>
          <t xml:space="preserve">한국남부발전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주</t>
        </r>
        <r>
          <rPr>
            <sz val="10"/>
            <rFont val="Arial"/>
            <family val="2"/>
          </rPr>
          <t xml:space="preserve">) AI</t>
        </r>
        <r>
          <rPr>
            <sz val="10"/>
            <rFont val="WenQuanYi Zen Hei"/>
            <family val="2"/>
          </rPr>
          <t xml:space="preserve">전략부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담당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김영재 </t>
        </r>
        <r>
          <rPr>
            <sz val="10"/>
            <rFont val="Arial"/>
            <family val="2"/>
          </rPr>
          <t xml:space="preserve">/ 070-7713-8642)</t>
        </r>
      </text>
    </comment>
    <comment ref="E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</t>
        </r>
        <r>
          <rPr>
            <sz val="10"/>
            <rFont val="WenQuanYi Zen Hei"/>
            <family val="2"/>
          </rPr>
          <t xml:space="preserve">일반경쟁 입찰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협상에 의한 계약</t>
        </r>
        <r>
          <rPr>
            <sz val="10"/>
            <rFont val="Arial"/>
            <family val="2"/>
          </rPr>
          <t xml:space="preserve">) — RFP </t>
        </r>
        <r>
          <rPr>
            <sz val="10"/>
            <rFont val="WenQuanYi Zen Hei"/>
            <family val="2"/>
          </rPr>
          <t xml:space="preserve">초안 Ⅰ</t>
        </r>
        <r>
          <rPr>
            <sz val="10"/>
            <rFont val="Arial"/>
            <family val="2"/>
          </rPr>
          <t xml:space="preserve">-1 </t>
        </r>
        <r>
          <rPr>
            <sz val="10"/>
            <rFont val="WenQuanYi Zen Hei"/>
            <family val="2"/>
          </rPr>
          <t xml:space="preserve">기재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공동수급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기업규모 제한 등 세부 조건은 초안에 없음</t>
        </r>
        <r>
          <rPr>
            <sz val="10"/>
            <rFont val="Arial"/>
            <family val="2"/>
          </rPr>
          <t xml:space="preserve">(Ⅳ·Ⅴ</t>
        </r>
        <r>
          <rPr>
            <sz val="10"/>
            <rFont val="WenQuanYi Zen Hei"/>
            <family val="2"/>
          </rPr>
          <t xml:space="preserve">장 부재</t>
        </r>
        <r>
          <rPr>
            <sz val="10"/>
            <rFont val="Arial"/>
            <family val="2"/>
          </rPr>
          <t xml:space="preserve">)</t>
        </r>
      </text>
    </comment>
    <comment ref="E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</t>
        </r>
        <r>
          <rPr>
            <sz val="10"/>
            <rFont val="WenQuanYi Zen Hei"/>
            <family val="2"/>
          </rPr>
          <t xml:space="preserve">계약 체결일로부터 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개월 </t>
        </r>
        <r>
          <rPr>
            <sz val="10"/>
            <rFont val="Arial"/>
            <family val="2"/>
          </rPr>
          <t xml:space="preserve">(RFP </t>
        </r>
        <r>
          <rPr>
            <sz val="10"/>
            <rFont val="WenQuanYi Zen Hei"/>
            <family val="2"/>
          </rPr>
          <t xml:space="preserve">초안 Ⅰ</t>
        </r>
        <r>
          <rPr>
            <sz val="10"/>
            <rFont val="Arial"/>
            <family val="2"/>
          </rPr>
          <t xml:space="preserve">-1)</t>
        </r>
      </text>
    </comment>
    <comment ref="E1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RFP </t>
        </r>
        <r>
          <rPr>
            <sz val="10"/>
            <rFont val="WenQuanYi Zen Hei"/>
            <family val="2"/>
          </rPr>
          <t xml:space="preserve">초안 미기재 — 본공고 확정 후 반영</t>
        </r>
      </text>
    </comment>
    <comment ref="E1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RFP </t>
        </r>
        <r>
          <rPr>
            <sz val="10"/>
            <rFont val="WenQuanYi Zen Hei"/>
            <family val="2"/>
          </rPr>
          <t xml:space="preserve">초안 미기재 — 본공고 확정 후 반영</t>
        </r>
      </text>
    </comment>
    <comment ref="E1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RFP </t>
        </r>
        <r>
          <rPr>
            <sz val="10"/>
            <rFont val="WenQuanYi Zen Hei"/>
            <family val="2"/>
          </rPr>
          <t xml:space="preserve">초안 미기재 — 본공고 확정 후 반영</t>
        </r>
      </text>
    </comment>
    <comment ref="E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PM</t>
        </r>
        <r>
          <rPr>
            <sz val="10"/>
            <rFont val="WenQuanYi Zen Hei"/>
            <family val="2"/>
          </rPr>
          <t xml:space="preserve">팀 김진서 부장</t>
        </r>
      </text>
    </comment>
    <comment ref="E1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(</t>
        </r>
        <r>
          <rPr>
            <sz val="10"/>
            <rFont val="WenQuanYi Zen Hei"/>
            <family val="2"/>
          </rPr>
          <t xml:space="preserve">공란</t>
        </r>
        <r>
          <rPr>
            <sz val="10"/>
            <rFont val="Arial"/>
            <family val="2"/>
          </rPr>
          <t xml:space="preserve">)</t>
        </r>
      </text>
    </comment>
    <comment ref="E1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(</t>
        </r>
        <r>
          <rPr>
            <sz val="10"/>
            <rFont val="WenQuanYi Zen Hei"/>
            <family val="2"/>
          </rPr>
          <t xml:space="preserve">공란</t>
        </r>
        <r>
          <rPr>
            <sz val="10"/>
            <rFont val="Arial"/>
            <family val="2"/>
          </rPr>
          <t xml:space="preserve">)</t>
        </r>
      </text>
    </comment>
    <comment ref="E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 </t>
        </r>
        <r>
          <rPr>
            <sz val="10"/>
            <rFont val="WenQuanYi Zen Hei"/>
            <family val="2"/>
          </rPr>
          <t xml:space="preserve">수식</t>
        </r>
        <r>
          <rPr>
            <sz val="10"/>
            <rFont val="Arial"/>
            <family val="2"/>
          </rPr>
          <t xml:space="preserve">]
=TEXT('③-1 </t>
        </r>
        <r>
          <rPr>
            <sz val="10"/>
            <rFont val="WenQuanYi Zen Hei"/>
            <family val="2"/>
          </rPr>
          <t xml:space="preserve">비율 산정</t>
        </r>
        <r>
          <rPr>
            <sz val="10"/>
            <rFont val="Arial"/>
            <family val="2"/>
          </rPr>
          <t xml:space="preserve">'!G33,"0.0%")&amp;" / "&amp;TEXT('③-1 </t>
        </r>
        <r>
          <rPr>
            <sz val="10"/>
            <rFont val="WenQuanYi Zen Hei"/>
            <family val="2"/>
          </rPr>
          <t xml:space="preserve">비율 산정</t>
        </r>
        <r>
          <rPr>
            <sz val="10"/>
            <rFont val="Arial"/>
            <family val="2"/>
          </rPr>
          <t xml:space="preserve">'!G34,"0.0%")&amp;" / "&amp;TEXT('③-1 </t>
        </r>
        <r>
          <rPr>
            <sz val="10"/>
            <rFont val="WenQuanYi Zen Hei"/>
            <family val="2"/>
          </rPr>
          <t xml:space="preserve">비율 산정</t>
        </r>
        <r>
          <rPr>
            <sz val="10"/>
            <rFont val="Arial"/>
            <family val="2"/>
          </rPr>
          <t xml:space="preserve">'!G35,"0.0%")&amp;"  (</t>
        </r>
        <r>
          <rPr>
            <sz val="10"/>
            <rFont val="WenQuanYi Zen Hei"/>
            <family val="2"/>
          </rPr>
          <t xml:space="preserve">공수 기준</t>
        </r>
        <r>
          <rPr>
            <sz val="10"/>
            <rFont val="Arial"/>
            <family val="2"/>
          </rPr>
          <t xml:space="preserve">)"
※ </t>
        </r>
        <r>
          <rPr>
            <sz val="10"/>
            <rFont val="WenQuanYi Zen Hei"/>
            <family val="2"/>
          </rPr>
          <t xml:space="preserve">양식 버전</t>
        </r>
        <r>
          <rPr>
            <sz val="10"/>
            <rFont val="Arial"/>
            <family val="2"/>
          </rPr>
          <t xml:space="preserve">(V2.0) </t>
        </r>
        <r>
          <rPr>
            <sz val="10"/>
            <rFont val="WenQuanYi Zen Hei"/>
            <family val="2"/>
          </rPr>
          <t xml:space="preserve">차이로 참조 컬럼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구성이 다름</t>
        </r>
      </text>
    </comment>
    <comment ref="E4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 </t>
        </r>
        <r>
          <rPr>
            <sz val="10"/>
            <rFont val="WenQuanYi Zen Hei"/>
            <family val="2"/>
          </rPr>
          <t xml:space="preserve">수식</t>
        </r>
        <r>
          <rPr>
            <sz val="10"/>
            <rFont val="Arial"/>
            <family val="2"/>
          </rPr>
          <t xml:space="preserve">]
None
※ </t>
        </r>
        <r>
          <rPr>
            <sz val="10"/>
            <rFont val="WenQuanYi Zen Hei"/>
            <family val="2"/>
          </rPr>
          <t xml:space="preserve">양식 버전</t>
        </r>
        <r>
          <rPr>
            <sz val="10"/>
            <rFont val="Arial"/>
            <family val="2"/>
          </rPr>
          <t xml:space="preserve">(V2.0) </t>
        </r>
        <r>
          <rPr>
            <sz val="10"/>
            <rFont val="WenQuanYi Zen Hei"/>
            <family val="2"/>
          </rPr>
          <t xml:space="preserve">차이로 참조 컬럼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구성이 다름</t>
        </r>
      </text>
    </comment>
    <comment ref="F4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 </t>
        </r>
        <r>
          <rPr>
            <sz val="10"/>
            <rFont val="WenQuanYi Zen Hei"/>
            <family val="2"/>
          </rPr>
          <t xml:space="preserve">수식</t>
        </r>
        <r>
          <rPr>
            <sz val="10"/>
            <rFont val="Arial"/>
            <family val="2"/>
          </rPr>
          <t xml:space="preserve">]
None
※ </t>
        </r>
        <r>
          <rPr>
            <sz val="10"/>
            <rFont val="WenQuanYi Zen Hei"/>
            <family val="2"/>
          </rPr>
          <t xml:space="preserve">양식 버전</t>
        </r>
        <r>
          <rPr>
            <sz val="10"/>
            <rFont val="Arial"/>
            <family val="2"/>
          </rPr>
          <t xml:space="preserve">(V2.0) </t>
        </r>
        <r>
          <rPr>
            <sz val="10"/>
            <rFont val="WenQuanYi Zen Hei"/>
            <family val="2"/>
          </rPr>
          <t xml:space="preserve">차이로 참조 컬럼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구성이 다름</t>
        </r>
      </text>
    </comment>
    <comment ref="G3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</t>
        </r>
        <r>
          <rPr>
            <sz val="10"/>
            <rFont val="WenQuanYi Zen Hei"/>
            <family val="2"/>
          </rPr>
          <t xml:space="preserve">수행팀</t>
        </r>
        <r>
          <rPr>
            <sz val="10"/>
            <rFont val="Arial"/>
            <family val="2"/>
          </rPr>
          <t xml:space="preserve">(AI</t>
        </r>
        <r>
          <rPr>
            <sz val="10"/>
            <rFont val="WenQuanYi Zen Hei"/>
            <family val="2"/>
          </rPr>
          <t xml:space="preserve">사업부문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WenQuanYi Zen Hei"/>
            <family val="2"/>
          </rPr>
          <t xml:space="preserve">구축 공수 — ③시트 </t>
        </r>
        <r>
          <rPr>
            <sz val="10"/>
            <rFont val="Arial"/>
            <family val="2"/>
          </rPr>
          <t xml:space="preserve">Q·R·T</t>
        </r>
        <r>
          <rPr>
            <sz val="10"/>
            <rFont val="WenQuanYi Zen Hei"/>
            <family val="2"/>
          </rPr>
          <t xml:space="preserve">열 합계</t>
        </r>
      </text>
    </comment>
    <comment ref="G4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(</t>
        </r>
        <r>
          <rPr>
            <sz val="10"/>
            <rFont val="WenQuanYi Zen Hei"/>
            <family val="2"/>
          </rPr>
          <t xml:space="preserve">공란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세부항목 수</t>
        </r>
        <r>
          <rPr>
            <sz val="10"/>
            <rFont val="Arial"/>
            <family val="2"/>
          </rPr>
          <t xml:space="preserve">] Claude 4</t>
        </r>
        <r>
          <rPr>
            <sz val="10"/>
            <rFont val="WenQuanYi Zen Hei"/>
            <family val="2"/>
          </rPr>
          <t xml:space="preserve">개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개
타 자료는 </t>
        </r>
        <r>
          <rPr>
            <sz val="10"/>
            <rFont val="Arial"/>
            <family val="2"/>
          </rPr>
          <t xml:space="preserve">Agent </t>
        </r>
        <r>
          <rPr>
            <sz val="10"/>
            <rFont val="WenQuanYi Zen Hei"/>
            <family val="2"/>
          </rPr>
          <t xml:space="preserve">구현 예시 표</t>
        </r>
        <r>
          <rPr>
            <sz val="10"/>
            <rFont val="Arial"/>
            <family val="2"/>
          </rPr>
          <t xml:space="preserve">(※)</t>
        </r>
        <r>
          <rPr>
            <sz val="10"/>
            <rFont val="WenQuanYi Zen Hei"/>
            <family val="2"/>
          </rPr>
          <t xml:space="preserve">를 별도 세부항목</t>
        </r>
        <r>
          <rPr>
            <sz val="10"/>
            <rFont val="Arial"/>
            <family val="2"/>
          </rPr>
          <t xml:space="preserve">(5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분리</t>
        </r>
        <r>
          <rPr>
            <sz val="10"/>
            <rFont val="Arial"/>
            <family val="2"/>
          </rPr>
          <t xml:space="preserve">. Claude </t>
        </r>
        <r>
          <rPr>
            <sz val="10"/>
            <rFont val="WenQuanYi Zen Hei"/>
            <family val="2"/>
          </rPr>
          <t xml:space="preserve">자료는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번 항목 하위로 포함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표는 </t>
        </r>
        <r>
          <rPr>
            <sz val="10"/>
            <rFont val="Arial"/>
            <family val="2"/>
          </rPr>
          <t xml:space="preserve">o</t>
        </r>
        <r>
          <rPr>
            <sz val="10"/>
            <rFont val="WenQuanYi Zen Hei"/>
            <family val="2"/>
          </rPr>
          <t xml:space="preserve">로 시작하지 않으므로 분할 안 함</t>
        </r>
        <r>
          <rPr>
            <sz val="10"/>
            <rFont val="Arial"/>
            <family val="2"/>
          </rPr>
          <t xml:space="preserve">)
[</t>
        </r>
        <r>
          <rPr>
            <sz val="10"/>
            <rFont val="WenQuanYi Zen Hei"/>
            <family val="2"/>
          </rPr>
          <t xml:space="preserve">타 작성자 전체</t>
        </r>
        <r>
          <rPr>
            <sz val="10"/>
            <rFont val="Arial"/>
            <family val="2"/>
          </rPr>
          <t xml:space="preserve">]
[1] </t>
        </r>
        <r>
          <rPr>
            <sz val="10"/>
            <rFont val="WenQuanYi Zen Hei"/>
            <family val="2"/>
          </rPr>
          <t xml:space="preserve">기관 업무특성을 고려한 업무별 특화 </t>
        </r>
        <r>
          <rPr>
            <sz val="10"/>
            <rFont val="Arial"/>
            <family val="2"/>
          </rPr>
          <t xml:space="preserve">AI Agent 7</t>
        </r>
        <r>
          <rPr>
            <sz val="10"/>
            <rFont val="WenQuanYi Zen Hei"/>
            <family val="2"/>
          </rPr>
          <t xml:space="preserve">개를 구축하여야 하며 세부 대상업무 및 구현범위는 현업 요구사항 분석을 통해 발주기관과 협의하여 확정하여야 함
────────
</t>
        </r>
        <r>
          <rPr>
            <sz val="10"/>
            <rFont val="Arial"/>
            <family val="2"/>
          </rPr>
          <t xml:space="preserve">[2] </t>
        </r>
        <r>
          <rPr>
            <sz val="10"/>
            <rFont val="WenQuanYi Zen Hei"/>
            <family val="2"/>
          </rPr>
          <t xml:space="preserve">업무별 수행절차 및 특성을 분석하여 필요한 내부 지식</t>
        </r>
        <r>
          <rPr>
            <sz val="10"/>
            <rFont val="Arial"/>
            <family val="2"/>
          </rPr>
          <t xml:space="preserve">(RAG), </t>
        </r>
        <r>
          <rPr>
            <sz val="10"/>
            <rFont val="WenQuanYi Zen Hei"/>
            <family val="2"/>
          </rPr>
          <t xml:space="preserve">내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외부 </t>
        </r>
        <r>
          <rPr>
            <sz val="10"/>
            <rFont val="Arial"/>
            <family val="2"/>
          </rPr>
          <t xml:space="preserve">API, </t>
        </r>
        <r>
          <rPr>
            <sz val="10"/>
            <rFont val="WenQuanYi Zen Hei"/>
            <family val="2"/>
          </rPr>
          <t xml:space="preserve">실행도구 및 업무시스템 등을 연계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활용하고 정보 검색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분석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데이터 처리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계산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문서 및 결과물 생성 및 후속 업무처리 등 일련의 업무 수행을 지원할 수 있도록 구현하여야 함
────────
</t>
        </r>
        <r>
          <rPr>
            <sz val="10"/>
            <rFont val="Arial"/>
            <family val="2"/>
          </rPr>
          <t xml:space="preserve">[3] </t>
        </r>
        <r>
          <rPr>
            <sz val="10"/>
            <rFont val="WenQuanYi Zen Hei"/>
            <family val="2"/>
          </rPr>
          <t xml:space="preserve">구축되는 업무별 특화 </t>
        </r>
        <r>
          <rPr>
            <sz val="10"/>
            <rFont val="Arial"/>
            <family val="2"/>
          </rPr>
          <t xml:space="preserve">AI Agent</t>
        </r>
        <r>
          <rPr>
            <sz val="10"/>
            <rFont val="WenQuanYi Zen Hei"/>
            <family val="2"/>
          </rPr>
          <t xml:space="preserve">는 기존 생성형 </t>
        </r>
        <r>
          <rPr>
            <sz val="10"/>
            <rFont val="Arial"/>
            <family val="2"/>
          </rPr>
          <t xml:space="preserve">AI </t>
        </r>
        <r>
          <rPr>
            <sz val="10"/>
            <rFont val="WenQuanYi Zen Hei"/>
            <family val="2"/>
          </rPr>
          <t xml:space="preserve">플랫폼</t>
        </r>
        <r>
          <rPr>
            <sz val="10"/>
            <rFont val="Arial"/>
            <family val="2"/>
          </rPr>
          <t xml:space="preserve">(KEMI)</t>
        </r>
        <r>
          <rPr>
            <sz val="10"/>
            <rFont val="WenQuanYi Zen Hei"/>
            <family val="2"/>
          </rPr>
          <t xml:space="preserve">의 서비스 체계에 통합하여 제공하여야 하며 사용자가 </t>
        </r>
        <r>
          <rPr>
            <sz val="10"/>
            <rFont val="Arial"/>
            <family val="2"/>
          </rPr>
          <t xml:space="preserve">KEMI </t>
        </r>
        <r>
          <rPr>
            <sz val="10"/>
            <rFont val="WenQuanYi Zen Hei"/>
            <family val="2"/>
          </rPr>
          <t xml:space="preserve">내에서 </t>
        </r>
        <r>
          <rPr>
            <sz val="10"/>
            <rFont val="Arial"/>
            <family val="2"/>
          </rPr>
          <t xml:space="preserve">Agent</t>
        </r>
        <r>
          <rPr>
            <sz val="10"/>
            <rFont val="WenQuanYi Zen Hei"/>
            <family val="2"/>
          </rPr>
          <t xml:space="preserve">별 서비스를 일관된 방식으로 접근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이용할 수 있도록 구현하여야 함
────────
</t>
        </r>
        <r>
          <rPr>
            <sz val="10"/>
            <rFont val="Arial"/>
            <family val="2"/>
          </rPr>
          <t xml:space="preserve">[4] </t>
        </r>
        <r>
          <rPr>
            <sz val="10"/>
            <rFont val="WenQuanYi Zen Hei"/>
            <family val="2"/>
          </rPr>
          <t xml:space="preserve">업무 수행 시 사용자의 데이터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지식 및 시스템 접근권한을 준수하여야 하며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업무 특성상 필요한 경우 사용자의 확인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승인을 거쳐 후속 업무가 수행될 수 있도록 구현하여야 함
────────
</t>
        </r>
        <r>
          <rPr>
            <sz val="10"/>
            <rFont val="Arial"/>
            <family val="2"/>
          </rPr>
          <t xml:space="preserve">[5] ※ </t>
        </r>
        <r>
          <rPr>
            <sz val="10"/>
            <rFont val="WenQuanYi Zen Hei"/>
            <family val="2"/>
          </rPr>
          <t xml:space="preserve">업무별 특화 </t>
        </r>
        <r>
          <rPr>
            <sz val="10"/>
            <rFont val="Arial"/>
            <family val="2"/>
          </rPr>
          <t xml:space="preserve">AI Agent </t>
        </r>
        <r>
          <rPr>
            <sz val="10"/>
            <rFont val="WenQuanYi Zen Hei"/>
            <family val="2"/>
          </rPr>
          <t xml:space="preserve">구현 예시
</t>
        </r>
        <r>
          <rPr>
            <sz val="10"/>
            <rFont val="Arial"/>
            <family val="2"/>
          </rPr>
          <t xml:space="preserve">Agent </t>
        </r>
        <r>
          <rPr>
            <sz val="10"/>
            <rFont val="WenQuanYi Zen Hei"/>
            <family val="2"/>
          </rPr>
          <t xml:space="preserve">예시
주요 구현내용
법률자문 업무지원 </t>
        </r>
        <r>
          <rPr>
            <sz val="10"/>
            <rFont val="Arial"/>
            <family val="2"/>
          </rPr>
          <t xml:space="preserve">Agent
 </t>
        </r>
        <r>
          <rPr>
            <sz val="10"/>
            <rFont val="WenQuanYi Zen Hei"/>
            <family val="2"/>
          </rPr>
          <t xml:space="preserve">사내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외 법률자문 자료와 외부 법령정보 </t>
        </r>
        <r>
          <rPr>
            <sz val="10"/>
            <rFont val="Arial"/>
            <family val="2"/>
          </rPr>
          <t xml:space="preserve">API</t>
        </r>
        <r>
          <rPr>
            <sz val="10"/>
            <rFont val="WenQuanYi Zen Hei"/>
            <family val="2"/>
          </rPr>
          <t xml:space="preserve">를 활용하여 관련 정보를 검색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분석하고 법률자문 답변 초안을 지정된 </t>
        </r>
        <r>
          <rPr>
            <sz val="10"/>
            <rFont val="Arial"/>
            <family val="2"/>
          </rPr>
          <t xml:space="preserve">HWP </t>
        </r>
        <r>
          <rPr>
            <sz val="10"/>
            <rFont val="WenQuanYi Zen Hei"/>
            <family val="2"/>
          </rPr>
          <t xml:space="preserve">양식으로 생성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전달
전자결재 문서검색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분석 </t>
        </r>
        <r>
          <rPr>
            <sz val="10"/>
            <rFont val="Arial"/>
            <family val="2"/>
          </rPr>
          <t xml:space="preserve">Agent
 </t>
        </r>
        <r>
          <rPr>
            <sz val="10"/>
            <rFont val="WenQuanYi Zen Hei"/>
            <family val="2"/>
          </rPr>
          <t xml:space="preserve">사용자의 문서 조회권한 범위 내에서 관련 전자결재 문서를 검색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요약하고 문서번호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제목 등 주요 정보와 원문을 일괄 제공
공사설계 업무지원 </t>
        </r>
        <r>
          <rPr>
            <sz val="10"/>
            <rFont val="Arial"/>
            <family val="2"/>
          </rPr>
          <t xml:space="preserve">Agent
 </t>
        </r>
        <r>
          <rPr>
            <sz val="10"/>
            <rFont val="WenQuanYi Zen Hei"/>
            <family val="2"/>
          </rPr>
          <t xml:space="preserve">표준품셈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노임단가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제경비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물가정보 등 내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외부 데이터를 활용하여 필요 정보를 검색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분석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산출하고 설계서 초안을 지정된 형식으로 생성
</t>
        </r>
        <r>
          <rPr>
            <sz val="10"/>
            <rFont val="Arial"/>
            <family val="2"/>
          </rPr>
          <t xml:space="preserve">AI </t>
        </r>
        <r>
          <rPr>
            <sz val="10"/>
            <rFont val="WenQuanYi Zen Hei"/>
            <family val="2"/>
          </rPr>
          <t xml:space="preserve">회의록 </t>
        </r>
        <r>
          <rPr>
            <sz val="10"/>
            <rFont val="Arial"/>
            <family val="2"/>
          </rPr>
          <t xml:space="preserve">Agent
 </t>
        </r>
        <r>
          <rPr>
            <sz val="10"/>
            <rFont val="WenQuanYi Zen Hei"/>
            <family val="2"/>
          </rPr>
          <t xml:space="preserve">회의 음성을 </t>
        </r>
        <r>
          <rPr>
            <sz val="10"/>
            <rFont val="Arial"/>
            <family val="2"/>
          </rPr>
          <t xml:space="preserve">STT</t>
        </r>
        <r>
          <rPr>
            <sz val="10"/>
            <rFont val="WenQuanYi Zen Hei"/>
            <family val="2"/>
          </rPr>
          <t xml:space="preserve">로 변환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분석하여 주요 논의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결정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조치사항을 정리하고 회의록을 지정된 </t>
        </r>
        <r>
          <rPr>
            <sz val="10"/>
            <rFont val="Arial"/>
            <family val="2"/>
          </rPr>
          <t xml:space="preserve">HWP </t>
        </r>
        <r>
          <rPr>
            <sz val="10"/>
            <rFont val="WenQuanYi Zen Hei"/>
            <family val="2"/>
          </rPr>
          <t xml:space="preserve">양식으로 생성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전달
상기 사례는 </t>
        </r>
        <r>
          <rPr>
            <sz val="10"/>
            <rFont val="Arial"/>
            <family val="2"/>
          </rPr>
          <t xml:space="preserve">AI Agent</t>
        </r>
        <r>
          <rPr>
            <sz val="10"/>
            <rFont val="WenQuanYi Zen Hei"/>
            <family val="2"/>
          </rPr>
          <t xml:space="preserve">의 구현 수준 및 방향에 대한 예시이며 실제 구축 대상업무 및 세부 구현범위는 현업 요구사항 분석 등을 통해 발주기관과 협의하여 확정한다</t>
        </r>
        <r>
          <rPr>
            <sz val="10"/>
            <rFont val="Arial"/>
            <family val="2"/>
          </rPr>
          <t xml:space="preserve">.</t>
        </r>
      </text>
    </comment>
    <comment ref="C14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세부항목 수</t>
        </r>
        <r>
          <rPr>
            <sz val="10"/>
            <rFont val="Arial"/>
            <family val="2"/>
          </rPr>
          <t xml:space="preserve">] Claude 4</t>
        </r>
        <r>
          <rPr>
            <sz val="10"/>
            <rFont val="WenQuanYi Zen Hei"/>
            <family val="2"/>
          </rPr>
          <t xml:space="preserve">개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개
타 자료는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번 문장을 줄바꿈 위치에서 두 행</t>
        </r>
        <r>
          <rPr>
            <sz val="10"/>
            <rFont val="Arial"/>
            <family val="2"/>
          </rPr>
          <t xml:space="preserve">(1·2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잘못 분할 → 이후 번호가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씩 밀림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개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원문 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개
</t>
        </r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전체</t>
        </r>
        <r>
          <rPr>
            <sz val="10"/>
            <rFont val="Arial"/>
            <family val="2"/>
          </rPr>
          <t xml:space="preserve">]
[1] </t>
        </r>
        <r>
          <rPr>
            <sz val="10"/>
            <rFont val="WenQuanYi Zen Hei"/>
            <family val="2"/>
          </rPr>
          <t xml:space="preserve">본 사업을 효과적으로 수행하기 위한 추진조직 및 지원조직 구성계획을
────────
</t>
        </r>
        <r>
          <rPr>
            <sz val="10"/>
            <rFont val="Arial"/>
            <family val="2"/>
          </rPr>
          <t xml:space="preserve">[2] </t>
        </r>
        <r>
          <rPr>
            <sz val="10"/>
            <rFont val="WenQuanYi Zen Hei"/>
            <family val="2"/>
          </rPr>
          <t xml:space="preserve">명확하게 제시하여야 함
────────
</t>
        </r>
        <r>
          <rPr>
            <sz val="10"/>
            <rFont val="Arial"/>
            <family val="2"/>
          </rPr>
          <t xml:space="preserve">[3] </t>
        </r>
        <r>
          <rPr>
            <sz val="10"/>
            <rFont val="WenQuanYi Zen Hei"/>
            <family val="2"/>
          </rPr>
          <t xml:space="preserve">사업관리자</t>
        </r>
        <r>
          <rPr>
            <sz val="10"/>
            <rFont val="Arial"/>
            <family val="2"/>
          </rPr>
          <t xml:space="preserve">(PM)</t>
        </r>
        <r>
          <rPr>
            <sz val="10"/>
            <rFont val="WenQuanYi Zen Hei"/>
            <family val="2"/>
          </rPr>
          <t xml:space="preserve">는 반드시 주사업자 소속으로 일정 수준 이상 직급의 직원으로서 본 사업을 총괄할 수 있는 경험이 있는 전문 인력이어야 하며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사업기간 동안 상주가 가능하여야 함
────────
</t>
        </r>
        <r>
          <rPr>
            <sz val="10"/>
            <rFont val="Arial"/>
            <family val="2"/>
          </rPr>
          <t xml:space="preserve">[4] </t>
        </r>
        <r>
          <rPr>
            <sz val="10"/>
            <rFont val="WenQuanYi Zen Hei"/>
            <family val="2"/>
          </rPr>
          <t xml:space="preserve">인력교체 필요 시 인력교체 전에 대체인력을 투입하여야 하며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인력교체기간 동안 발생하는 업무의 안정화 및 품질저하 방지 대책을 제시하여야 함
────────
</t>
        </r>
        <r>
          <rPr>
            <sz val="10"/>
            <rFont val="Arial"/>
            <family val="2"/>
          </rPr>
          <t xml:space="preserve">[5] </t>
        </r>
        <r>
          <rPr>
            <sz val="10"/>
            <rFont val="WenQuanYi Zen Hei"/>
            <family val="2"/>
          </rPr>
          <t xml:space="preserve">사업 수행조직 외 본 사업을 성공적으로 수행할 수 있도록 지원 또는 자문조직의 구성을 제시할 수 있음</t>
        </r>
      </text>
    </comment>
    <comment ref="C16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세부항목 수</t>
        </r>
        <r>
          <rPr>
            <sz val="10"/>
            <rFont val="Arial"/>
            <family val="2"/>
          </rPr>
          <t xml:space="preserve">] Claude 1</t>
        </r>
        <r>
          <rPr>
            <sz val="10"/>
            <rFont val="WenQuanYi Zen Hei"/>
            <family val="2"/>
          </rPr>
          <t xml:space="preserve">개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개
타 자료는 보고 체계 표를 별도 세부항목</t>
        </r>
        <r>
          <rPr>
            <sz val="10"/>
            <rFont val="Arial"/>
            <family val="2"/>
          </rPr>
          <t xml:space="preserve">(2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분리</t>
        </r>
        <r>
          <rPr>
            <sz val="10"/>
            <rFont val="Arial"/>
            <family val="2"/>
          </rPr>
          <t xml:space="preserve">. Claude </t>
        </r>
        <r>
          <rPr>
            <sz val="10"/>
            <rFont val="WenQuanYi Zen Hei"/>
            <family val="2"/>
          </rPr>
          <t xml:space="preserve">자료는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번 항목 하위로 포함
</t>
        </r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전체</t>
        </r>
        <r>
          <rPr>
            <sz val="10"/>
            <rFont val="Arial"/>
            <family val="2"/>
          </rPr>
          <t xml:space="preserve">]
[1] </t>
        </r>
        <r>
          <rPr>
            <sz val="10"/>
            <rFont val="WenQuanYi Zen Hei"/>
            <family val="2"/>
          </rPr>
          <t xml:space="preserve">원활한 사업추진을 위해 보고회를 개최하여야 하며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보고 시 도출된 문제점은 즉시 수정 보완하여야 한다</t>
        </r>
        <r>
          <rPr>
            <sz val="10"/>
            <rFont val="Arial"/>
            <family val="2"/>
          </rPr>
          <t xml:space="preserve">.
────────
[2] </t>
        </r>
        <r>
          <rPr>
            <sz val="10"/>
            <rFont val="WenQuanYi Zen Hei"/>
            <family val="2"/>
          </rPr>
          <t xml:space="preserve">구 분
보고명
보고내용
시 기
정기
보고
주간보고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진도관리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계획대비 실적</t>
        </r>
        <r>
          <rPr>
            <sz val="10"/>
            <rFont val="Arial"/>
            <family val="2"/>
          </rPr>
          <t xml:space="preserve">)
- </t>
        </r>
        <r>
          <rPr>
            <sz val="10"/>
            <rFont val="WenQuanYi Zen Hei"/>
            <family val="2"/>
          </rPr>
          <t xml:space="preserve">문제점 보고 및 특이사항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진척률 및 차주계획
매주
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협의결정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WenQuanYi Zen Hei"/>
            <family val="2"/>
          </rPr>
          <t xml:space="preserve">비정기
보고
착수보고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사업 추진전략 및 세부 진행계획 보고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업무분장 및 협조사항 요청
협의
중간보고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개발상황 및 현안 보고
완료보고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개발결과 보고
수시보고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이슈사항 및 문제점 협의 등</t>
        </r>
      </text>
    </comment>
    <comment ref="C16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세부항목 수</t>
        </r>
        <r>
          <rPr>
            <sz val="10"/>
            <rFont val="Arial"/>
            <family val="2"/>
          </rPr>
          <t xml:space="preserve">] Claude 1</t>
        </r>
        <r>
          <rPr>
            <sz val="10"/>
            <rFont val="WenQuanYi Zen Hei"/>
            <family val="2"/>
          </rPr>
          <t xml:space="preserve">개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개
타 자료는 산출물 표를 별도 세부항목</t>
        </r>
        <r>
          <rPr>
            <sz val="10"/>
            <rFont val="Arial"/>
            <family val="2"/>
          </rPr>
          <t xml:space="preserve">(2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분리했으며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표 내용이 수령 </t>
        </r>
        <r>
          <rPr>
            <sz val="10"/>
            <rFont val="Arial"/>
            <family val="2"/>
          </rPr>
          <t xml:space="preserve">PDF</t>
        </r>
        <r>
          <rPr>
            <sz val="10"/>
            <rFont val="WenQuanYi Zen Hei"/>
            <family val="2"/>
          </rPr>
          <t xml:space="preserve">와 다름</t>
        </r>
        <r>
          <rPr>
            <sz val="10"/>
            <rFont val="Arial"/>
            <family val="2"/>
          </rPr>
          <t xml:space="preserve">(RPA </t>
        </r>
        <r>
          <rPr>
            <sz val="10"/>
            <rFont val="WenQuanYi Zen Hei"/>
            <family val="2"/>
          </rPr>
          <t xml:space="preserve">스크립트 목록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성과측정 결과 분석보고서 등 포함</t>
        </r>
        <r>
          <rPr>
            <sz val="10"/>
            <rFont val="Arial"/>
            <family val="2"/>
          </rPr>
          <t xml:space="preserve">, AI Agent </t>
        </r>
        <r>
          <rPr>
            <sz val="10"/>
            <rFont val="WenQuanYi Zen Hei"/>
            <family val="2"/>
          </rPr>
          <t xml:space="preserve">설계서</t>
        </r>
        <r>
          <rPr>
            <sz val="10"/>
            <rFont val="Arial"/>
            <family val="2"/>
          </rPr>
          <t xml:space="preserve">·MCP </t>
        </r>
        <r>
          <rPr>
            <sz val="10"/>
            <rFont val="WenQuanYi Zen Hei"/>
            <family val="2"/>
          </rPr>
          <t xml:space="preserve">명세서 등 없음</t>
        </r>
        <r>
          <rPr>
            <sz val="10"/>
            <rFont val="Arial"/>
            <family val="2"/>
          </rPr>
          <t xml:space="preserve">) → RFP </t>
        </r>
        <r>
          <rPr>
            <sz val="10"/>
            <rFont val="WenQuanYi Zen Hei"/>
            <family val="2"/>
          </rPr>
          <t xml:space="preserve">초안과 본 </t>
        </r>
        <r>
          <rPr>
            <sz val="10"/>
            <rFont val="Arial"/>
            <family val="2"/>
          </rPr>
          <t xml:space="preserve">RFP </t>
        </r>
        <r>
          <rPr>
            <sz val="10"/>
            <rFont val="WenQuanYi Zen Hei"/>
            <family val="2"/>
          </rPr>
          <t xml:space="preserve">버전 차이로 추정
</t>
        </r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전체</t>
        </r>
        <r>
          <rPr>
            <sz val="10"/>
            <rFont val="Arial"/>
            <family val="2"/>
          </rPr>
          <t xml:space="preserve">]
[1] </t>
        </r>
        <r>
          <rPr>
            <sz val="10"/>
            <rFont val="WenQuanYi Zen Hei"/>
            <family val="2"/>
          </rPr>
          <t xml:space="preserve">각 산출물은 해당 단계에 따라 제출하여야 함
────────
</t>
        </r>
        <r>
          <rPr>
            <sz val="10"/>
            <rFont val="Arial"/>
            <family val="2"/>
          </rPr>
          <t xml:space="preserve">[2] </t>
        </r>
        <r>
          <rPr>
            <sz val="10"/>
            <rFont val="WenQuanYi Zen Hei"/>
            <family val="2"/>
          </rPr>
          <t xml:space="preserve">구  분
시  기
수 량
착수계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착수보고서
계약 후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일 이내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부
사업수행 계획서
계약 후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일 이내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부
보안서약서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대표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투입인력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WenQuanYi Zen Hei"/>
            <family val="2"/>
          </rPr>
          <t xml:space="preserve">계약 후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일 이내
대상자별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부
개인정보 수집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이용 동의서
계약 후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일 이내
각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부
요구사항 정의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분석서
별도협의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부
작업진척 보고서
주간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또는 수시</t>
        </r>
        <r>
          <rPr>
            <sz val="10"/>
            <rFont val="Arial"/>
            <family val="2"/>
          </rPr>
          <t xml:space="preserve">)
-
</t>
        </r>
        <r>
          <rPr>
            <sz val="10"/>
            <rFont val="WenQuanYi Zen Hei"/>
            <family val="2"/>
          </rPr>
          <t xml:space="preserve">회의록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업무협의서
발생시
</t>
        </r>
        <r>
          <rPr>
            <sz val="10"/>
            <rFont val="Arial"/>
            <family val="2"/>
          </rPr>
          <t xml:space="preserve">-
</t>
        </r>
        <r>
          <rPr>
            <sz val="10"/>
            <rFont val="WenQuanYi Zen Hei"/>
            <family val="2"/>
          </rPr>
          <t xml:space="preserve">각종 신청서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반입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반출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보안 등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WenQuanYi Zen Hei"/>
            <family val="2"/>
          </rPr>
          <t xml:space="preserve">필요시
신청서별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부
테스트 계획서
테스트 전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부
업무프로세스 설계서
설계 완료 후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부
테스트 결과서
테스트 완료 후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부
</t>
        </r>
        <r>
          <rPr>
            <sz val="10"/>
            <rFont val="Arial"/>
            <family val="2"/>
          </rPr>
          <t xml:space="preserve">RPA </t>
        </r>
        <r>
          <rPr>
            <sz val="10"/>
            <rFont val="WenQuanYi Zen Hei"/>
            <family val="2"/>
          </rPr>
          <t xml:space="preserve">스크립트 목록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기능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파일위치 등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WenQuanYi Zen Hei"/>
            <family val="2"/>
          </rPr>
          <t xml:space="preserve">최종 완료 시
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부
</t>
        </r>
        <r>
          <rPr>
            <sz val="10"/>
            <rFont val="Arial"/>
            <family val="2"/>
          </rPr>
          <t xml:space="preserve">RPA </t>
        </r>
        <r>
          <rPr>
            <sz val="10"/>
            <rFont val="WenQuanYi Zen Hei"/>
            <family val="2"/>
          </rPr>
          <t xml:space="preserve">스크립트 파일
최종 완료 시
취약점 조치결과 보고서
조치완료 후
</t>
        </r>
        <r>
          <rPr>
            <sz val="10"/>
            <rFont val="Arial"/>
            <family val="2"/>
          </rPr>
          <t xml:space="preserve">-
</t>
        </r>
        <r>
          <rPr>
            <sz val="10"/>
            <rFont val="WenQuanYi Zen Hei"/>
            <family val="2"/>
          </rPr>
          <t xml:space="preserve">성과측정 결과 빛 분석보고서
최종 완료시
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부
완료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최종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보고서
최종 완료 시
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부
관리자 지침서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설치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운영 등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WenQuanYi Zen Hei"/>
            <family val="2"/>
          </rPr>
          <t xml:space="preserve">및 교육교재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매뉴얼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WenQuanYi Zen Hei"/>
            <family val="2"/>
          </rPr>
          <t xml:space="preserve">최종 완료 시
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부
※ 기타 표기되지 않은 산출물은 제안요청 또는 계약상대자 제안서 내용을 근거로 제출하여야 한다</t>
        </r>
        <r>
          <rPr>
            <sz val="10"/>
            <rFont val="Arial"/>
            <family val="2"/>
          </rPr>
          <t xml:space="preserve">. (</t>
        </r>
        <r>
          <rPr>
            <sz val="10"/>
            <rFont val="WenQuanYi Zen Hei"/>
            <family val="2"/>
          </rPr>
          <t xml:space="preserve">별도 협의</t>
        </r>
        <r>
          <rPr>
            <sz val="10"/>
            <rFont val="Arial"/>
            <family val="2"/>
          </rPr>
          <t xml:space="preserve">)
※ </t>
        </r>
        <r>
          <rPr>
            <sz val="10"/>
            <rFont val="WenQuanYi Zen Hei"/>
            <family val="2"/>
          </rPr>
          <t xml:space="preserve">산출물 및 성과물 종류와 제출 일정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제출방식은 제안요청서 또는 계약상대자 제안서 내용을 근거로 협의하여 조정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가⋅감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할 수 있다</t>
        </r>
        <r>
          <rPr>
            <sz val="10"/>
            <rFont val="Arial"/>
            <family val="2"/>
          </rPr>
          <t xml:space="preserve">.</t>
        </r>
      </text>
    </comment>
    <comment ref="C21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세부항목 수</t>
        </r>
        <r>
          <rPr>
            <sz val="10"/>
            <rFont val="Arial"/>
            <family val="2"/>
          </rPr>
          <t xml:space="preserve">] Claude 8</t>
        </r>
        <r>
          <rPr>
            <sz val="10"/>
            <rFont val="WenQuanYi Zen Hei"/>
            <family val="2"/>
          </rPr>
          <t xml:space="preserve">개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WenQuanYi Zen Hei"/>
            <family val="2"/>
          </rPr>
          <t xml:space="preserve">개
타 자료는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번 항목의 </t>
        </r>
        <r>
          <rPr>
            <sz val="10"/>
            <rFont val="Arial"/>
            <family val="2"/>
          </rPr>
          <t xml:space="preserve">'-' </t>
        </r>
        <r>
          <rPr>
            <sz val="10"/>
            <rFont val="WenQuanYi Zen Hei"/>
            <family val="2"/>
          </rPr>
          <t xml:space="preserve">하위문장을 줄바꿈 위치에서 잘라 별도 행</t>
        </r>
        <r>
          <rPr>
            <sz val="10"/>
            <rFont val="Arial"/>
            <family val="2"/>
          </rPr>
          <t xml:space="preserve">(4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분리 → 이후 번호가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씩 밀림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 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WenQuanYi Zen Hei"/>
            <family val="2"/>
          </rPr>
          <t xml:space="preserve">개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원문 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WenQuanYi Zen Hei"/>
            <family val="2"/>
          </rPr>
          <t xml:space="preserve">개
</t>
        </r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전체</t>
        </r>
        <r>
          <rPr>
            <sz val="10"/>
            <rFont val="Arial"/>
            <family val="2"/>
          </rPr>
          <t xml:space="preserve">]
[1] </t>
        </r>
        <r>
          <rPr>
            <sz val="10"/>
            <rFont val="WenQuanYi Zen Hei"/>
            <family val="2"/>
          </rPr>
          <t xml:space="preserve">사업자가 제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자로부터 구매하여 공급한 제품을 포함한 전 시스템의 무상 하자보수기간은 검사완료일로부터 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WenQuanYi Zen Hei"/>
            <family val="2"/>
          </rPr>
          <t xml:space="preserve">개월로 함
────────
</t>
        </r>
        <r>
          <rPr>
            <sz val="10"/>
            <rFont val="Arial"/>
            <family val="2"/>
          </rPr>
          <t xml:space="preserve">[2] </t>
        </r>
        <r>
          <rPr>
            <sz val="10"/>
            <rFont val="WenQuanYi Zen Hei"/>
            <family val="2"/>
          </rPr>
          <t xml:space="preserve">무상 하자보수 지원방안에 지원범위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지원방법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상주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비상주 등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WenQuanYi Zen Hei"/>
            <family val="2"/>
          </rPr>
          <t xml:space="preserve">등을 포함하여 제시
────────
</t>
        </r>
        <r>
          <rPr>
            <sz val="10"/>
            <rFont val="Arial"/>
            <family val="2"/>
          </rPr>
          <t xml:space="preserve">[3] </t>
        </r>
        <r>
          <rPr>
            <sz val="10"/>
            <rFont val="WenQuanYi Zen Hei"/>
            <family val="2"/>
          </rPr>
          <t xml:space="preserve">시스템의 결함 및 </t>
        </r>
        <r>
          <rPr>
            <sz val="10"/>
            <rFont val="Arial"/>
            <family val="2"/>
          </rPr>
          <t xml:space="preserve">S/W </t>
        </r>
        <r>
          <rPr>
            <sz val="10"/>
            <rFont val="WenQuanYi Zen Hei"/>
            <family val="2"/>
          </rPr>
          <t xml:space="preserve">개발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설치 등의 하자가 발견될 경우 즉시 필요한 조치를 취하여 문제를 해결하여야 함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하자보수 기간 중 치명적인 하자 및 오류로 인하여 시스템 사용이 불가 시
────────
</t>
        </r>
        <r>
          <rPr>
            <sz val="10"/>
            <rFont val="Arial"/>
            <family val="2"/>
          </rPr>
          <t xml:space="preserve">[4] </t>
        </r>
        <r>
          <rPr>
            <sz val="10"/>
            <rFont val="WenQuanYi Zen Hei"/>
            <family val="2"/>
          </rPr>
          <t xml:space="preserve">즉시 개발인력을 투입하여 지원하도록 함
────────
</t>
        </r>
        <r>
          <rPr>
            <sz val="10"/>
            <rFont val="Arial"/>
            <family val="2"/>
          </rPr>
          <t xml:space="preserve">[5] </t>
        </r>
        <r>
          <rPr>
            <sz val="10"/>
            <rFont val="WenQuanYi Zen Hei"/>
            <family val="2"/>
          </rPr>
          <t xml:space="preserve">고장수리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성능개선 지원 및 긴급지원관리 서비스
────────
</t>
        </r>
        <r>
          <rPr>
            <sz val="10"/>
            <rFont val="Arial"/>
            <family val="2"/>
          </rPr>
          <t xml:space="preserve">[6] </t>
        </r>
        <r>
          <rPr>
            <sz val="10"/>
            <rFont val="WenQuanYi Zen Hei"/>
            <family val="2"/>
          </rPr>
          <t xml:space="preserve">고객지원 엔지니어의 방문지원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요청 시</t>
        </r>
        <r>
          <rPr>
            <sz val="10"/>
            <rFont val="Arial"/>
            <family val="2"/>
          </rPr>
          <t xml:space="preserve">)
────────
[7] </t>
        </r>
        <r>
          <rPr>
            <sz val="10"/>
            <rFont val="WenQuanYi Zen Hei"/>
            <family val="2"/>
          </rPr>
          <t xml:space="preserve">공급되는 솔루션의 제작사 지원 중단 시는 최소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개월 전에 서면으로 통보하고 업그레이드 등 지속운용 대책 등을 강구하여야 함
────────
</t>
        </r>
        <r>
          <rPr>
            <sz val="10"/>
            <rFont val="Arial"/>
            <family val="2"/>
          </rPr>
          <t xml:space="preserve">[8] </t>
        </r>
        <r>
          <rPr>
            <sz val="10"/>
            <rFont val="WenQuanYi Zen Hei"/>
            <family val="2"/>
          </rPr>
          <t xml:space="preserve">모든 납품 제품은 제조사 공급확약서 및 기술지원 확약서를 계약 후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일 이내 제출하여야 한다</t>
        </r>
        <r>
          <rPr>
            <sz val="10"/>
            <rFont val="Arial"/>
            <family val="2"/>
          </rPr>
          <t xml:space="preserve">.
────────
[9] </t>
        </r>
        <r>
          <rPr>
            <sz val="10"/>
            <rFont val="WenQuanYi Zen Hei"/>
            <family val="2"/>
          </rPr>
          <t xml:space="preserve">시범운영 및 안정화 기간에 대한 구체적인 계획 제시</t>
        </r>
      </text>
    </comment>
    <comment ref="C21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세부항목 수</t>
        </r>
        <r>
          <rPr>
            <sz val="10"/>
            <rFont val="Arial"/>
            <family val="2"/>
          </rPr>
          <t xml:space="preserve">] Claude 7</t>
        </r>
        <r>
          <rPr>
            <sz val="10"/>
            <rFont val="WenQuanYi Zen Hei"/>
            <family val="2"/>
          </rPr>
          <t xml:space="preserve">개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개
타 자료 </t>
        </r>
        <r>
          <rPr>
            <sz val="10"/>
            <rFont val="Arial"/>
            <family val="2"/>
          </rPr>
          <t xml:space="preserve">COR-001</t>
        </r>
        <r>
          <rPr>
            <sz val="10"/>
            <rFont val="WenQuanYi Zen Hei"/>
            <family val="2"/>
          </rPr>
          <t xml:space="preserve">은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개 항목이며 문구가 수령 </t>
        </r>
        <r>
          <rPr>
            <sz val="10"/>
            <rFont val="Arial"/>
            <family val="2"/>
          </rPr>
          <t xml:space="preserve">PDF</t>
        </r>
        <r>
          <rPr>
            <sz val="10"/>
            <rFont val="WenQuanYi Zen Hei"/>
            <family val="2"/>
          </rPr>
          <t xml:space="preserve">와 다름</t>
        </r>
        <r>
          <rPr>
            <sz val="10"/>
            <rFont val="Arial"/>
            <family val="2"/>
          </rPr>
          <t xml:space="preserve">('</t>
        </r>
        <r>
          <rPr>
            <sz val="10"/>
            <rFont val="WenQuanYi Zen Hei"/>
            <family val="2"/>
          </rPr>
          <t xml:space="preserve">자동화 수행</t>
        </r>
        <r>
          <rPr>
            <sz val="10"/>
            <rFont val="Arial"/>
            <family val="2"/>
          </rPr>
          <t xml:space="preserve">', '</t>
        </r>
        <r>
          <rPr>
            <sz val="10"/>
            <rFont val="WenQuanYi Zen Hei"/>
            <family val="2"/>
          </rPr>
          <t xml:space="preserve">자동화 스크립트 작성기법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WenQuanYi Zen Hei"/>
            <family val="2"/>
          </rPr>
          <t xml:space="preserve">등</t>
        </r>
        <r>
          <rPr>
            <sz val="10"/>
            <rFont val="Arial"/>
            <family val="2"/>
          </rPr>
          <t xml:space="preserve">) → RFP </t>
        </r>
        <r>
          <rPr>
            <sz val="10"/>
            <rFont val="WenQuanYi Zen Hei"/>
            <family val="2"/>
          </rPr>
          <t xml:space="preserve">초안과 본 </t>
        </r>
        <r>
          <rPr>
            <sz val="10"/>
            <rFont val="Arial"/>
            <family val="2"/>
          </rPr>
          <t xml:space="preserve">RFP </t>
        </r>
        <r>
          <rPr>
            <sz val="10"/>
            <rFont val="WenQuanYi Zen Hei"/>
            <family val="2"/>
          </rPr>
          <t xml:space="preserve">버전 차이로 추정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수령 </t>
        </r>
        <r>
          <rPr>
            <sz val="10"/>
            <rFont val="Arial"/>
            <family val="2"/>
          </rPr>
          <t xml:space="preserve">PDF </t>
        </r>
        <r>
          <rPr>
            <sz val="10"/>
            <rFont val="WenQuanYi Zen Hei"/>
            <family val="2"/>
          </rPr>
          <t xml:space="preserve">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WenQuanYi Zen Hei"/>
            <family val="2"/>
          </rPr>
          <t xml:space="preserve">개
</t>
        </r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전체</t>
        </r>
        <r>
          <rPr>
            <sz val="10"/>
            <rFont val="Arial"/>
            <family val="2"/>
          </rPr>
          <t xml:space="preserve">]
[1] </t>
        </r>
        <r>
          <rPr>
            <sz val="10"/>
            <rFont val="WenQuanYi Zen Hei"/>
            <family val="2"/>
          </rPr>
          <t xml:space="preserve">기존시스템 운영에 영향을 주지 않아야 하며 기존시스템과 완벽하게 호환되어 정상적으로 동작이 수행되어야 함 </t>
        </r>
        <r>
          <rPr>
            <sz val="10"/>
            <rFont val="Arial"/>
            <family val="2"/>
          </rPr>
          <t xml:space="preserve">(SSO </t>
        </r>
        <r>
          <rPr>
            <sz val="10"/>
            <rFont val="WenQuanYi Zen Hei"/>
            <family val="2"/>
          </rPr>
          <t xml:space="preserve">연동 포함</t>
        </r>
        <r>
          <rPr>
            <sz val="10"/>
            <rFont val="Arial"/>
            <family val="2"/>
          </rPr>
          <t xml:space="preserve">)
────────
[2] </t>
        </r>
        <r>
          <rPr>
            <sz val="10"/>
            <rFont val="WenQuanYi Zen Hei"/>
            <family val="2"/>
          </rPr>
          <t xml:space="preserve">사업기간 중 규정변경에 따른 연동대상 시스템 프로세스 변경된 경우 이를 반영하여야 함
────────
</t>
        </r>
        <r>
          <rPr>
            <sz val="10"/>
            <rFont val="Arial"/>
            <family val="2"/>
          </rPr>
          <t xml:space="preserve">[3] </t>
        </r>
        <r>
          <rPr>
            <sz val="10"/>
            <rFont val="WenQuanYi Zen Hei"/>
            <family val="2"/>
          </rPr>
          <t xml:space="preserve">사업기간 중 발주사의 </t>
        </r>
        <r>
          <rPr>
            <sz val="10"/>
            <rFont val="Arial"/>
            <family val="2"/>
          </rPr>
          <t xml:space="preserve">ICT </t>
        </r>
        <r>
          <rPr>
            <sz val="10"/>
            <rFont val="WenQuanYi Zen Hei"/>
            <family val="2"/>
          </rPr>
          <t xml:space="preserve">인프라 환경이 변경되는 경우 이를 반영하여 자동화 수행
────────
</t>
        </r>
        <r>
          <rPr>
            <sz val="10"/>
            <rFont val="Arial"/>
            <family val="2"/>
          </rPr>
          <t xml:space="preserve">[4] </t>
        </r>
        <r>
          <rPr>
            <sz val="10"/>
            <rFont val="WenQuanYi Zen Hei"/>
            <family val="2"/>
          </rPr>
          <t xml:space="preserve">본 과업 수행 시 다음을 포함한 의사결정 필요사항은 사전에 발주부서와 협의하여 결정하여야 함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자동화에 대한 제반 기술 및 도구 선정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화면처리 흐름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코드분류 등 향후운영 및 유지관리에 영향을 주는 사항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자동화 스크립트 작성기법과 문서화 작업</t>
        </r>
      </text>
    </comment>
    <comment ref="F2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[4] </t>
        </r>
        <r>
          <rPr>
            <sz val="10"/>
            <rFont val="WenQuanYi Zen Hei"/>
            <family val="2"/>
          </rPr>
          <t xml:space="preserve">업무 수행 시 사용자의 데이터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지식 및 시스템 접근권한을 준수하여야 하며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업무 특성상 필요한 경우 사용자의 확인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승인을 거쳐 후속 업무가 수행될 수 있도록 구현하여야 함
※ 타 자료는 </t>
        </r>
        <r>
          <rPr>
            <sz val="10"/>
            <rFont val="Arial"/>
            <family val="2"/>
          </rPr>
          <t xml:space="preserve">Agent </t>
        </r>
        <r>
          <rPr>
            <sz val="10"/>
            <rFont val="WenQuanYi Zen Hei"/>
            <family val="2"/>
          </rPr>
          <t xml:space="preserve">구현 예시 표</t>
        </r>
        <r>
          <rPr>
            <sz val="10"/>
            <rFont val="Arial"/>
            <family val="2"/>
          </rPr>
          <t xml:space="preserve">(※)</t>
        </r>
        <r>
          <rPr>
            <sz val="10"/>
            <rFont val="WenQuanYi Zen Hei"/>
            <family val="2"/>
          </rPr>
          <t xml:space="preserve">를 별도 세부항목</t>
        </r>
        <r>
          <rPr>
            <sz val="10"/>
            <rFont val="Arial"/>
            <family val="2"/>
          </rPr>
          <t xml:space="preserve">(5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분리</t>
        </r>
        <r>
          <rPr>
            <sz val="10"/>
            <rFont val="Arial"/>
            <family val="2"/>
          </rPr>
          <t xml:space="preserve">. Claude </t>
        </r>
        <r>
          <rPr>
            <sz val="10"/>
            <rFont val="WenQuanYi Zen Hei"/>
            <family val="2"/>
          </rPr>
          <t xml:space="preserve">자료는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번 항목 하위로 포함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표는 </t>
        </r>
        <r>
          <rPr>
            <sz val="10"/>
            <rFont val="Arial"/>
            <family val="2"/>
          </rPr>
          <t xml:space="preserve">o</t>
        </r>
        <r>
          <rPr>
            <sz val="10"/>
            <rFont val="WenQuanYi Zen Hei"/>
            <family val="2"/>
          </rPr>
          <t xml:space="preserve">로 시작하지 않으므로 분할 안 함</t>
        </r>
        <r>
          <rPr>
            <sz val="10"/>
            <rFont val="Arial"/>
            <family val="2"/>
          </rPr>
          <t xml:space="preserve">)</t>
        </r>
      </text>
    </comment>
    <comment ref="F14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[1] </t>
        </r>
        <r>
          <rPr>
            <sz val="10"/>
            <rFont val="WenQuanYi Zen Hei"/>
            <family val="2"/>
          </rPr>
          <t xml:space="preserve">본 사업을 효과적으로 수행하기 위한 추진조직 및 지원조직 구성계획을
※ 타 자료는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번 문장을 줄바꿈 위치에서 두 행</t>
        </r>
        <r>
          <rPr>
            <sz val="10"/>
            <rFont val="Arial"/>
            <family val="2"/>
          </rPr>
          <t xml:space="preserve">(1·2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잘못 분할 → 이후 번호가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씩 밀림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개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원문 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개</t>
        </r>
      </text>
    </comment>
    <comment ref="F14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[2] </t>
        </r>
        <r>
          <rPr>
            <sz val="10"/>
            <rFont val="WenQuanYi Zen Hei"/>
            <family val="2"/>
          </rPr>
          <t xml:space="preserve">명확하게 제시하여야 함
※ 타 자료는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번 문장을 줄바꿈 위치에서 두 행</t>
        </r>
        <r>
          <rPr>
            <sz val="10"/>
            <rFont val="Arial"/>
            <family val="2"/>
          </rPr>
          <t xml:space="preserve">(1·2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잘못 분할 → 이후 번호가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씩 밀림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개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원문 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개</t>
        </r>
      </text>
    </comment>
    <comment ref="F1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[3] </t>
        </r>
        <r>
          <rPr>
            <sz val="10"/>
            <rFont val="WenQuanYi Zen Hei"/>
            <family val="2"/>
          </rPr>
          <t xml:space="preserve">사업관리자</t>
        </r>
        <r>
          <rPr>
            <sz val="10"/>
            <rFont val="Arial"/>
            <family val="2"/>
          </rPr>
          <t xml:space="preserve">(PM)</t>
        </r>
        <r>
          <rPr>
            <sz val="10"/>
            <rFont val="WenQuanYi Zen Hei"/>
            <family val="2"/>
          </rPr>
          <t xml:space="preserve">는 반드시 주사업자 소속으로 일정 수준 이상 직급의 직원으로서 본 사업을 총괄할 수 있는 경험이 있는 전문 인력이어야 하며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사업기간 동안 상주가 가능하여야 함
※ 타 자료는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번 문장을 줄바꿈 위치에서 두 행</t>
        </r>
        <r>
          <rPr>
            <sz val="10"/>
            <rFont val="Arial"/>
            <family val="2"/>
          </rPr>
          <t xml:space="preserve">(1·2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잘못 분할 → 이후 번호가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씩 밀림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개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원문 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개</t>
        </r>
      </text>
    </comment>
    <comment ref="F1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[4] </t>
        </r>
        <r>
          <rPr>
            <sz val="10"/>
            <rFont val="WenQuanYi Zen Hei"/>
            <family val="2"/>
          </rPr>
          <t xml:space="preserve">인력교체 필요 시 인력교체 전에 대체인력을 투입하여야 하며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인력교체기간 동안 발생하는 업무의 안정화 및 품질저하 방지 대책을 제시하여야 함
※ 타 자료는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번 문장을 줄바꿈 위치에서 두 행</t>
        </r>
        <r>
          <rPr>
            <sz val="10"/>
            <rFont val="Arial"/>
            <family val="2"/>
          </rPr>
          <t xml:space="preserve">(1·2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잘못 분할 → 이후 번호가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씩 밀림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개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원문 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개</t>
        </r>
      </text>
    </comment>
    <comment ref="F16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[1] </t>
        </r>
        <r>
          <rPr>
            <sz val="10"/>
            <rFont val="WenQuanYi Zen Hei"/>
            <family val="2"/>
          </rPr>
          <t xml:space="preserve">원활한 사업추진을 위해 보고회를 개최하여야 하며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보고 시 도출된 문제점은 즉시 수정 보완하여야 한다</t>
        </r>
        <r>
          <rPr>
            <sz val="10"/>
            <rFont val="Arial"/>
            <family val="2"/>
          </rPr>
          <t xml:space="preserve">.
※ </t>
        </r>
        <r>
          <rPr>
            <sz val="10"/>
            <rFont val="WenQuanYi Zen Hei"/>
            <family val="2"/>
          </rPr>
          <t xml:space="preserve">타 자료는 보고 체계 표를 별도 세부항목</t>
        </r>
        <r>
          <rPr>
            <sz val="10"/>
            <rFont val="Arial"/>
            <family val="2"/>
          </rPr>
          <t xml:space="preserve">(2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분리</t>
        </r>
        <r>
          <rPr>
            <sz val="10"/>
            <rFont val="Arial"/>
            <family val="2"/>
          </rPr>
          <t xml:space="preserve">. Claude </t>
        </r>
        <r>
          <rPr>
            <sz val="10"/>
            <rFont val="WenQuanYi Zen Hei"/>
            <family val="2"/>
          </rPr>
          <t xml:space="preserve">자료는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번 항목 하위로 포함</t>
        </r>
      </text>
    </comment>
    <comment ref="F16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[1] </t>
        </r>
        <r>
          <rPr>
            <sz val="10"/>
            <rFont val="WenQuanYi Zen Hei"/>
            <family val="2"/>
          </rPr>
          <t xml:space="preserve">각 산출물은 해당 단계에 따라 제출하여야 함
※ 타 자료는 산출물 표를 별도 세부항목</t>
        </r>
        <r>
          <rPr>
            <sz val="10"/>
            <rFont val="Arial"/>
            <family val="2"/>
          </rPr>
          <t xml:space="preserve">(2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분리했으며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표 내용이 수령 </t>
        </r>
        <r>
          <rPr>
            <sz val="10"/>
            <rFont val="Arial"/>
            <family val="2"/>
          </rPr>
          <t xml:space="preserve">PDF</t>
        </r>
        <r>
          <rPr>
            <sz val="10"/>
            <rFont val="WenQuanYi Zen Hei"/>
            <family val="2"/>
          </rPr>
          <t xml:space="preserve">와 다름</t>
        </r>
        <r>
          <rPr>
            <sz val="10"/>
            <rFont val="Arial"/>
            <family val="2"/>
          </rPr>
          <t xml:space="preserve">(RPA </t>
        </r>
        <r>
          <rPr>
            <sz val="10"/>
            <rFont val="WenQuanYi Zen Hei"/>
            <family val="2"/>
          </rPr>
          <t xml:space="preserve">스크립트 목록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성과측정 결과 분석보고서 등 포함</t>
        </r>
        <r>
          <rPr>
            <sz val="10"/>
            <rFont val="Arial"/>
            <family val="2"/>
          </rPr>
          <t xml:space="preserve">, AI Agent </t>
        </r>
        <r>
          <rPr>
            <sz val="10"/>
            <rFont val="WenQuanYi Zen Hei"/>
            <family val="2"/>
          </rPr>
          <t xml:space="preserve">설계서</t>
        </r>
        <r>
          <rPr>
            <sz val="10"/>
            <rFont val="Arial"/>
            <family val="2"/>
          </rPr>
          <t xml:space="preserve">·MCP </t>
        </r>
        <r>
          <rPr>
            <sz val="10"/>
            <rFont val="WenQuanYi Zen Hei"/>
            <family val="2"/>
          </rPr>
          <t xml:space="preserve">명세서 등 없음</t>
        </r>
        <r>
          <rPr>
            <sz val="10"/>
            <rFont val="Arial"/>
            <family val="2"/>
          </rPr>
          <t xml:space="preserve">) → RFP </t>
        </r>
        <r>
          <rPr>
            <sz val="10"/>
            <rFont val="WenQuanYi Zen Hei"/>
            <family val="2"/>
          </rPr>
          <t xml:space="preserve">초안과 본 </t>
        </r>
        <r>
          <rPr>
            <sz val="10"/>
            <rFont val="Arial"/>
            <family val="2"/>
          </rPr>
          <t xml:space="preserve">RFP </t>
        </r>
        <r>
          <rPr>
            <sz val="10"/>
            <rFont val="WenQuanYi Zen Hei"/>
            <family val="2"/>
          </rPr>
          <t xml:space="preserve">버전 차이로 추정</t>
        </r>
      </text>
    </comment>
    <comment ref="F21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[3] </t>
        </r>
        <r>
          <rPr>
            <sz val="10"/>
            <rFont val="WenQuanYi Zen Hei"/>
            <family val="2"/>
          </rPr>
          <t xml:space="preserve">시스템의 결함 및 </t>
        </r>
        <r>
          <rPr>
            <sz val="10"/>
            <rFont val="Arial"/>
            <family val="2"/>
          </rPr>
          <t xml:space="preserve">S/W </t>
        </r>
        <r>
          <rPr>
            <sz val="10"/>
            <rFont val="WenQuanYi Zen Hei"/>
            <family val="2"/>
          </rPr>
          <t xml:space="preserve">개발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설치 등의 하자가 발견될 경우 즉시 필요한 조치를 취하여 문제를 해결하여야 함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하자보수 기간 중 치명적인 하자 및 오류로 인하여 시스템 사용이 불가 시
※ 타 자료는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번 항목의 </t>
        </r>
        <r>
          <rPr>
            <sz val="10"/>
            <rFont val="Arial"/>
            <family val="2"/>
          </rPr>
          <t xml:space="preserve">'-' </t>
        </r>
        <r>
          <rPr>
            <sz val="10"/>
            <rFont val="WenQuanYi Zen Hei"/>
            <family val="2"/>
          </rPr>
          <t xml:space="preserve">하위문장을 줄바꿈 위치에서 잘라 별도 행</t>
        </r>
        <r>
          <rPr>
            <sz val="10"/>
            <rFont val="Arial"/>
            <family val="2"/>
          </rPr>
          <t xml:space="preserve">(4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분리 → 이후 번호가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씩 밀림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 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WenQuanYi Zen Hei"/>
            <family val="2"/>
          </rPr>
          <t xml:space="preserve">개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원문 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WenQuanYi Zen Hei"/>
            <family val="2"/>
          </rPr>
          <t xml:space="preserve">개</t>
        </r>
      </text>
    </comment>
    <comment ref="F2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[4] </t>
        </r>
        <r>
          <rPr>
            <sz val="10"/>
            <rFont val="WenQuanYi Zen Hei"/>
            <family val="2"/>
          </rPr>
          <t xml:space="preserve">즉시 개발인력을 투입하여 지원하도록 함
※ 타 자료는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번 항목의 </t>
        </r>
        <r>
          <rPr>
            <sz val="10"/>
            <rFont val="Arial"/>
            <family val="2"/>
          </rPr>
          <t xml:space="preserve">'-' </t>
        </r>
        <r>
          <rPr>
            <sz val="10"/>
            <rFont val="WenQuanYi Zen Hei"/>
            <family val="2"/>
          </rPr>
          <t xml:space="preserve">하위문장을 줄바꿈 위치에서 잘라 별도 행</t>
        </r>
        <r>
          <rPr>
            <sz val="10"/>
            <rFont val="Arial"/>
            <family val="2"/>
          </rPr>
          <t xml:space="preserve">(4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분리 → 이후 번호가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씩 밀림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 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WenQuanYi Zen Hei"/>
            <family val="2"/>
          </rPr>
          <t xml:space="preserve">개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원문 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WenQuanYi Zen Hei"/>
            <family val="2"/>
          </rPr>
          <t xml:space="preserve">개</t>
        </r>
      </text>
    </comment>
    <comment ref="F21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[5] </t>
        </r>
        <r>
          <rPr>
            <sz val="10"/>
            <rFont val="WenQuanYi Zen Hei"/>
            <family val="2"/>
          </rPr>
          <t xml:space="preserve">고장수리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성능개선 지원 및 긴급지원관리 서비스
※ 타 자료는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번 항목의 </t>
        </r>
        <r>
          <rPr>
            <sz val="10"/>
            <rFont val="Arial"/>
            <family val="2"/>
          </rPr>
          <t xml:space="preserve">'-' </t>
        </r>
        <r>
          <rPr>
            <sz val="10"/>
            <rFont val="WenQuanYi Zen Hei"/>
            <family val="2"/>
          </rPr>
          <t xml:space="preserve">하위문장을 줄바꿈 위치에서 잘라 별도 행</t>
        </r>
        <r>
          <rPr>
            <sz val="10"/>
            <rFont val="Arial"/>
            <family val="2"/>
          </rPr>
          <t xml:space="preserve">(4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분리 → 이후 번호가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씩 밀림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 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WenQuanYi Zen Hei"/>
            <family val="2"/>
          </rPr>
          <t xml:space="preserve">개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원문 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WenQuanYi Zen Hei"/>
            <family val="2"/>
          </rPr>
          <t xml:space="preserve">개</t>
        </r>
      </text>
    </comment>
    <comment ref="F21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[6] </t>
        </r>
        <r>
          <rPr>
            <sz val="10"/>
            <rFont val="WenQuanYi Zen Hei"/>
            <family val="2"/>
          </rPr>
          <t xml:space="preserve">고객지원 엔지니어의 방문지원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요청 시</t>
        </r>
        <r>
          <rPr>
            <sz val="10"/>
            <rFont val="Arial"/>
            <family val="2"/>
          </rPr>
          <t xml:space="preserve">)
※ </t>
        </r>
        <r>
          <rPr>
            <sz val="10"/>
            <rFont val="WenQuanYi Zen Hei"/>
            <family val="2"/>
          </rPr>
          <t xml:space="preserve">타 자료는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번 항목의 </t>
        </r>
        <r>
          <rPr>
            <sz val="10"/>
            <rFont val="Arial"/>
            <family val="2"/>
          </rPr>
          <t xml:space="preserve">'-' </t>
        </r>
        <r>
          <rPr>
            <sz val="10"/>
            <rFont val="WenQuanYi Zen Hei"/>
            <family val="2"/>
          </rPr>
          <t xml:space="preserve">하위문장을 줄바꿈 위치에서 잘라 별도 행</t>
        </r>
        <r>
          <rPr>
            <sz val="10"/>
            <rFont val="Arial"/>
            <family val="2"/>
          </rPr>
          <t xml:space="preserve">(4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분리 → 이후 번호가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씩 밀림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 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WenQuanYi Zen Hei"/>
            <family val="2"/>
          </rPr>
          <t xml:space="preserve">개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원문 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WenQuanYi Zen Hei"/>
            <family val="2"/>
          </rPr>
          <t xml:space="preserve">개</t>
        </r>
      </text>
    </comment>
    <comment ref="F21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[7] </t>
        </r>
        <r>
          <rPr>
            <sz val="10"/>
            <rFont val="WenQuanYi Zen Hei"/>
            <family val="2"/>
          </rPr>
          <t xml:space="preserve">공급되는 솔루션의 제작사 지원 중단 시는 최소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개월 전에 서면으로 통보하고 업그레이드 등 지속운용 대책 등을 강구하여야 함
※ 타 자료는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번 항목의 </t>
        </r>
        <r>
          <rPr>
            <sz val="10"/>
            <rFont val="Arial"/>
            <family val="2"/>
          </rPr>
          <t xml:space="preserve">'-' </t>
        </r>
        <r>
          <rPr>
            <sz val="10"/>
            <rFont val="WenQuanYi Zen Hei"/>
            <family val="2"/>
          </rPr>
          <t xml:space="preserve">하위문장을 줄바꿈 위치에서 잘라 별도 행</t>
        </r>
        <r>
          <rPr>
            <sz val="10"/>
            <rFont val="Arial"/>
            <family val="2"/>
          </rPr>
          <t xml:space="preserve">(4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분리 → 이후 번호가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씩 밀림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 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WenQuanYi Zen Hei"/>
            <family val="2"/>
          </rPr>
          <t xml:space="preserve">개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원문 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WenQuanYi Zen Hei"/>
            <family val="2"/>
          </rPr>
          <t xml:space="preserve">개</t>
        </r>
      </text>
    </comment>
    <comment ref="F21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[8] </t>
        </r>
        <r>
          <rPr>
            <sz val="10"/>
            <rFont val="WenQuanYi Zen Hei"/>
            <family val="2"/>
          </rPr>
          <t xml:space="preserve">모든 납품 제품은 제조사 공급확약서 및 기술지원 확약서를 계약 후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일 이내 제출하여야 한다</t>
        </r>
        <r>
          <rPr>
            <sz val="10"/>
            <rFont val="Arial"/>
            <family val="2"/>
          </rPr>
          <t xml:space="preserve">.
※ </t>
        </r>
        <r>
          <rPr>
            <sz val="10"/>
            <rFont val="WenQuanYi Zen Hei"/>
            <family val="2"/>
          </rPr>
          <t xml:space="preserve">타 자료는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번 항목의 </t>
        </r>
        <r>
          <rPr>
            <sz val="10"/>
            <rFont val="Arial"/>
            <family val="2"/>
          </rPr>
          <t xml:space="preserve">'-' </t>
        </r>
        <r>
          <rPr>
            <sz val="10"/>
            <rFont val="WenQuanYi Zen Hei"/>
            <family val="2"/>
          </rPr>
          <t xml:space="preserve">하위문장을 줄바꿈 위치에서 잘라 별도 행</t>
        </r>
        <r>
          <rPr>
            <sz val="10"/>
            <rFont val="Arial"/>
            <family val="2"/>
          </rPr>
          <t xml:space="preserve">(4</t>
        </r>
        <r>
          <rPr>
            <sz val="10"/>
            <rFont val="WenQuanYi Zen Hei"/>
            <family val="2"/>
          </rPr>
          <t xml:space="preserve">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으로 분리 → 이후 번호가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씩 밀림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 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WenQuanYi Zen Hei"/>
            <family val="2"/>
          </rPr>
          <t xml:space="preserve">개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원문 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WenQuanYi Zen Hei"/>
            <family val="2"/>
          </rPr>
          <t xml:space="preserve">개</t>
        </r>
      </text>
    </comment>
    <comment ref="F21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[1] </t>
        </r>
        <r>
          <rPr>
            <sz val="10"/>
            <rFont val="WenQuanYi Zen Hei"/>
            <family val="2"/>
          </rPr>
          <t xml:space="preserve">기존시스템 운영에 영향을 주지 않아야 하며 기존시스템과 완벽하게 호환되어 정상적으로 동작이 수행되어야 함 </t>
        </r>
        <r>
          <rPr>
            <sz val="10"/>
            <rFont val="Arial"/>
            <family val="2"/>
          </rPr>
          <t xml:space="preserve">(SSO </t>
        </r>
        <r>
          <rPr>
            <sz val="10"/>
            <rFont val="WenQuanYi Zen Hei"/>
            <family val="2"/>
          </rPr>
          <t xml:space="preserve">연동 포함</t>
        </r>
        <r>
          <rPr>
            <sz val="10"/>
            <rFont val="Arial"/>
            <family val="2"/>
          </rPr>
          <t xml:space="preserve">)
※ </t>
        </r>
        <r>
          <rPr>
            <sz val="10"/>
            <rFont val="WenQuanYi Zen Hei"/>
            <family val="2"/>
          </rPr>
          <t xml:space="preserve">타 자료 </t>
        </r>
        <r>
          <rPr>
            <sz val="10"/>
            <rFont val="Arial"/>
            <family val="2"/>
          </rPr>
          <t xml:space="preserve">COR-001</t>
        </r>
        <r>
          <rPr>
            <sz val="10"/>
            <rFont val="WenQuanYi Zen Hei"/>
            <family val="2"/>
          </rPr>
          <t xml:space="preserve">은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개 항목이며 문구가 수령 </t>
        </r>
        <r>
          <rPr>
            <sz val="10"/>
            <rFont val="Arial"/>
            <family val="2"/>
          </rPr>
          <t xml:space="preserve">PDF</t>
        </r>
        <r>
          <rPr>
            <sz val="10"/>
            <rFont val="WenQuanYi Zen Hei"/>
            <family val="2"/>
          </rPr>
          <t xml:space="preserve">와 다름</t>
        </r>
        <r>
          <rPr>
            <sz val="10"/>
            <rFont val="Arial"/>
            <family val="2"/>
          </rPr>
          <t xml:space="preserve">('</t>
        </r>
        <r>
          <rPr>
            <sz val="10"/>
            <rFont val="WenQuanYi Zen Hei"/>
            <family val="2"/>
          </rPr>
          <t xml:space="preserve">자동화 수행</t>
        </r>
        <r>
          <rPr>
            <sz val="10"/>
            <rFont val="Arial"/>
            <family val="2"/>
          </rPr>
          <t xml:space="preserve">', '</t>
        </r>
        <r>
          <rPr>
            <sz val="10"/>
            <rFont val="WenQuanYi Zen Hei"/>
            <family val="2"/>
          </rPr>
          <t xml:space="preserve">자동화 스크립트 작성기법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WenQuanYi Zen Hei"/>
            <family val="2"/>
          </rPr>
          <t xml:space="preserve">등</t>
        </r>
        <r>
          <rPr>
            <sz val="10"/>
            <rFont val="Arial"/>
            <family val="2"/>
          </rPr>
          <t xml:space="preserve">) → RFP </t>
        </r>
        <r>
          <rPr>
            <sz val="10"/>
            <rFont val="WenQuanYi Zen Hei"/>
            <family val="2"/>
          </rPr>
          <t xml:space="preserve">초안과 본 </t>
        </r>
        <r>
          <rPr>
            <sz val="10"/>
            <rFont val="Arial"/>
            <family val="2"/>
          </rPr>
          <t xml:space="preserve">RFP </t>
        </r>
        <r>
          <rPr>
            <sz val="10"/>
            <rFont val="WenQuanYi Zen Hei"/>
            <family val="2"/>
          </rPr>
          <t xml:space="preserve">버전 차이로 추정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수령 </t>
        </r>
        <r>
          <rPr>
            <sz val="10"/>
            <rFont val="Arial"/>
            <family val="2"/>
          </rPr>
          <t xml:space="preserve">PDF </t>
        </r>
        <r>
          <rPr>
            <sz val="10"/>
            <rFont val="WenQuanYi Zen Hei"/>
            <family val="2"/>
          </rPr>
          <t xml:space="preserve">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WenQuanYi Zen Hei"/>
            <family val="2"/>
          </rPr>
          <t xml:space="preserve">개</t>
        </r>
      </text>
    </comment>
    <comment ref="F21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[2] </t>
        </r>
        <r>
          <rPr>
            <sz val="10"/>
            <rFont val="WenQuanYi Zen Hei"/>
            <family val="2"/>
          </rPr>
          <t xml:space="preserve">사업기간 중 규정변경에 따른 연동대상 시스템 프로세스 변경된 경우 이를 반영하여야 함
※ 타 자료 </t>
        </r>
        <r>
          <rPr>
            <sz val="10"/>
            <rFont val="Arial"/>
            <family val="2"/>
          </rPr>
          <t xml:space="preserve">COR-001</t>
        </r>
        <r>
          <rPr>
            <sz val="10"/>
            <rFont val="WenQuanYi Zen Hei"/>
            <family val="2"/>
          </rPr>
          <t xml:space="preserve">은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개 항목이며 문구가 수령 </t>
        </r>
        <r>
          <rPr>
            <sz val="10"/>
            <rFont val="Arial"/>
            <family val="2"/>
          </rPr>
          <t xml:space="preserve">PDF</t>
        </r>
        <r>
          <rPr>
            <sz val="10"/>
            <rFont val="WenQuanYi Zen Hei"/>
            <family val="2"/>
          </rPr>
          <t xml:space="preserve">와 다름</t>
        </r>
        <r>
          <rPr>
            <sz val="10"/>
            <rFont val="Arial"/>
            <family val="2"/>
          </rPr>
          <t xml:space="preserve">('</t>
        </r>
        <r>
          <rPr>
            <sz val="10"/>
            <rFont val="WenQuanYi Zen Hei"/>
            <family val="2"/>
          </rPr>
          <t xml:space="preserve">자동화 수행</t>
        </r>
        <r>
          <rPr>
            <sz val="10"/>
            <rFont val="Arial"/>
            <family val="2"/>
          </rPr>
          <t xml:space="preserve">', '</t>
        </r>
        <r>
          <rPr>
            <sz val="10"/>
            <rFont val="WenQuanYi Zen Hei"/>
            <family val="2"/>
          </rPr>
          <t xml:space="preserve">자동화 스크립트 작성기법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WenQuanYi Zen Hei"/>
            <family val="2"/>
          </rPr>
          <t xml:space="preserve">등</t>
        </r>
        <r>
          <rPr>
            <sz val="10"/>
            <rFont val="Arial"/>
            <family val="2"/>
          </rPr>
          <t xml:space="preserve">) → RFP </t>
        </r>
        <r>
          <rPr>
            <sz val="10"/>
            <rFont val="WenQuanYi Zen Hei"/>
            <family val="2"/>
          </rPr>
          <t xml:space="preserve">초안과 본 </t>
        </r>
        <r>
          <rPr>
            <sz val="10"/>
            <rFont val="Arial"/>
            <family val="2"/>
          </rPr>
          <t xml:space="preserve">RFP </t>
        </r>
        <r>
          <rPr>
            <sz val="10"/>
            <rFont val="WenQuanYi Zen Hei"/>
            <family val="2"/>
          </rPr>
          <t xml:space="preserve">버전 차이로 추정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수령 </t>
        </r>
        <r>
          <rPr>
            <sz val="10"/>
            <rFont val="Arial"/>
            <family val="2"/>
          </rPr>
          <t xml:space="preserve">PDF </t>
        </r>
        <r>
          <rPr>
            <sz val="10"/>
            <rFont val="WenQuanYi Zen Hei"/>
            <family val="2"/>
          </rPr>
          <t xml:space="preserve">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WenQuanYi Zen Hei"/>
            <family val="2"/>
          </rPr>
          <t xml:space="preserve">개</t>
        </r>
      </text>
    </comment>
    <comment ref="F22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[3] </t>
        </r>
        <r>
          <rPr>
            <sz val="10"/>
            <rFont val="WenQuanYi Zen Hei"/>
            <family val="2"/>
          </rPr>
          <t xml:space="preserve">사업기간 중 발주사의 </t>
        </r>
        <r>
          <rPr>
            <sz val="10"/>
            <rFont val="Arial"/>
            <family val="2"/>
          </rPr>
          <t xml:space="preserve">ICT </t>
        </r>
        <r>
          <rPr>
            <sz val="10"/>
            <rFont val="WenQuanYi Zen Hei"/>
            <family val="2"/>
          </rPr>
          <t xml:space="preserve">인프라 환경이 변경되는 경우 이를 반영하여 자동화 수행
※ 타 자료 </t>
        </r>
        <r>
          <rPr>
            <sz val="10"/>
            <rFont val="Arial"/>
            <family val="2"/>
          </rPr>
          <t xml:space="preserve">COR-001</t>
        </r>
        <r>
          <rPr>
            <sz val="10"/>
            <rFont val="WenQuanYi Zen Hei"/>
            <family val="2"/>
          </rPr>
          <t xml:space="preserve">은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개 항목이며 문구가 수령 </t>
        </r>
        <r>
          <rPr>
            <sz val="10"/>
            <rFont val="Arial"/>
            <family val="2"/>
          </rPr>
          <t xml:space="preserve">PDF</t>
        </r>
        <r>
          <rPr>
            <sz val="10"/>
            <rFont val="WenQuanYi Zen Hei"/>
            <family val="2"/>
          </rPr>
          <t xml:space="preserve">와 다름</t>
        </r>
        <r>
          <rPr>
            <sz val="10"/>
            <rFont val="Arial"/>
            <family val="2"/>
          </rPr>
          <t xml:space="preserve">('</t>
        </r>
        <r>
          <rPr>
            <sz val="10"/>
            <rFont val="WenQuanYi Zen Hei"/>
            <family val="2"/>
          </rPr>
          <t xml:space="preserve">자동화 수행</t>
        </r>
        <r>
          <rPr>
            <sz val="10"/>
            <rFont val="Arial"/>
            <family val="2"/>
          </rPr>
          <t xml:space="preserve">', '</t>
        </r>
        <r>
          <rPr>
            <sz val="10"/>
            <rFont val="WenQuanYi Zen Hei"/>
            <family val="2"/>
          </rPr>
          <t xml:space="preserve">자동화 스크립트 작성기법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WenQuanYi Zen Hei"/>
            <family val="2"/>
          </rPr>
          <t xml:space="preserve">등</t>
        </r>
        <r>
          <rPr>
            <sz val="10"/>
            <rFont val="Arial"/>
            <family val="2"/>
          </rPr>
          <t xml:space="preserve">) → RFP </t>
        </r>
        <r>
          <rPr>
            <sz val="10"/>
            <rFont val="WenQuanYi Zen Hei"/>
            <family val="2"/>
          </rPr>
          <t xml:space="preserve">초안과 본 </t>
        </r>
        <r>
          <rPr>
            <sz val="10"/>
            <rFont val="Arial"/>
            <family val="2"/>
          </rPr>
          <t xml:space="preserve">RFP </t>
        </r>
        <r>
          <rPr>
            <sz val="10"/>
            <rFont val="WenQuanYi Zen Hei"/>
            <family val="2"/>
          </rPr>
          <t xml:space="preserve">버전 차이로 추정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수령 </t>
        </r>
        <r>
          <rPr>
            <sz val="10"/>
            <rFont val="Arial"/>
            <family val="2"/>
          </rPr>
          <t xml:space="preserve">PDF </t>
        </r>
        <r>
          <rPr>
            <sz val="10"/>
            <rFont val="WenQuanYi Zen Hei"/>
            <family val="2"/>
          </rPr>
          <t xml:space="preserve">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WenQuanYi Zen Hei"/>
            <family val="2"/>
          </rPr>
          <t xml:space="preserve">개</t>
        </r>
      </text>
    </comment>
    <comment ref="F22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[4] </t>
        </r>
        <r>
          <rPr>
            <sz val="10"/>
            <rFont val="WenQuanYi Zen Hei"/>
            <family val="2"/>
          </rPr>
          <t xml:space="preserve">본 과업 수행 시 다음을 포함한 의사결정 필요사항은 사전에 발주부서와 협의하여 결정하여야 함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자동화에 대한 제반 기술 및 도구 선정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화면처리 흐름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코드분류 등 향후운영 및 유지관리에 영향을 주는 사항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자동화 스크립트 작성기법과 문서화 작업
※ 타 자료 </t>
        </r>
        <r>
          <rPr>
            <sz val="10"/>
            <rFont val="Arial"/>
            <family val="2"/>
          </rPr>
          <t xml:space="preserve">COR-001</t>
        </r>
        <r>
          <rPr>
            <sz val="10"/>
            <rFont val="WenQuanYi Zen Hei"/>
            <family val="2"/>
          </rPr>
          <t xml:space="preserve">은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개 항목이며 문구가 수령 </t>
        </r>
        <r>
          <rPr>
            <sz val="10"/>
            <rFont val="Arial"/>
            <family val="2"/>
          </rPr>
          <t xml:space="preserve">PDF</t>
        </r>
        <r>
          <rPr>
            <sz val="10"/>
            <rFont val="WenQuanYi Zen Hei"/>
            <family val="2"/>
          </rPr>
          <t xml:space="preserve">와 다름</t>
        </r>
        <r>
          <rPr>
            <sz val="10"/>
            <rFont val="Arial"/>
            <family val="2"/>
          </rPr>
          <t xml:space="preserve">('</t>
        </r>
        <r>
          <rPr>
            <sz val="10"/>
            <rFont val="WenQuanYi Zen Hei"/>
            <family val="2"/>
          </rPr>
          <t xml:space="preserve">자동화 수행</t>
        </r>
        <r>
          <rPr>
            <sz val="10"/>
            <rFont val="Arial"/>
            <family val="2"/>
          </rPr>
          <t xml:space="preserve">', '</t>
        </r>
        <r>
          <rPr>
            <sz val="10"/>
            <rFont val="WenQuanYi Zen Hei"/>
            <family val="2"/>
          </rPr>
          <t xml:space="preserve">자동화 스크립트 작성기법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WenQuanYi Zen Hei"/>
            <family val="2"/>
          </rPr>
          <t xml:space="preserve">등</t>
        </r>
        <r>
          <rPr>
            <sz val="10"/>
            <rFont val="Arial"/>
            <family val="2"/>
          </rPr>
          <t xml:space="preserve">) → RFP </t>
        </r>
        <r>
          <rPr>
            <sz val="10"/>
            <rFont val="WenQuanYi Zen Hei"/>
            <family val="2"/>
          </rPr>
          <t xml:space="preserve">초안과 본 </t>
        </r>
        <r>
          <rPr>
            <sz val="10"/>
            <rFont val="Arial"/>
            <family val="2"/>
          </rPr>
          <t xml:space="preserve">RFP </t>
        </r>
        <r>
          <rPr>
            <sz val="10"/>
            <rFont val="WenQuanYi Zen Hei"/>
            <family val="2"/>
          </rPr>
          <t xml:space="preserve">버전 차이로 추정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수령 </t>
        </r>
        <r>
          <rPr>
            <sz val="10"/>
            <rFont val="Arial"/>
            <family val="2"/>
          </rPr>
          <t xml:space="preserve">PDF </t>
        </r>
        <r>
          <rPr>
            <sz val="10"/>
            <rFont val="WenQuanYi Zen Hei"/>
            <family val="2"/>
          </rPr>
          <t xml:space="preserve">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WenQuanYi Zen Hei"/>
            <family val="2"/>
          </rPr>
          <t xml:space="preserve">개</t>
        </r>
      </text>
    </comment>
    <comment ref="F22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(</t>
        </r>
        <r>
          <rPr>
            <sz val="10"/>
            <rFont val="WenQuanYi Zen Hei"/>
            <family val="2"/>
          </rPr>
          <t xml:space="preserve">대응 행 없음</t>
        </r>
        <r>
          <rPr>
            <sz val="10"/>
            <rFont val="Arial"/>
            <family val="2"/>
          </rPr>
          <t xml:space="preserve">)
※ </t>
        </r>
        <r>
          <rPr>
            <sz val="10"/>
            <rFont val="WenQuanYi Zen Hei"/>
            <family val="2"/>
          </rPr>
          <t xml:space="preserve">타 자료 </t>
        </r>
        <r>
          <rPr>
            <sz val="10"/>
            <rFont val="Arial"/>
            <family val="2"/>
          </rPr>
          <t xml:space="preserve">COR-001</t>
        </r>
        <r>
          <rPr>
            <sz val="10"/>
            <rFont val="WenQuanYi Zen Hei"/>
            <family val="2"/>
          </rPr>
          <t xml:space="preserve">은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개 항목이며 문구가 수령 </t>
        </r>
        <r>
          <rPr>
            <sz val="10"/>
            <rFont val="Arial"/>
            <family val="2"/>
          </rPr>
          <t xml:space="preserve">PDF</t>
        </r>
        <r>
          <rPr>
            <sz val="10"/>
            <rFont val="WenQuanYi Zen Hei"/>
            <family val="2"/>
          </rPr>
          <t xml:space="preserve">와 다름</t>
        </r>
        <r>
          <rPr>
            <sz val="10"/>
            <rFont val="Arial"/>
            <family val="2"/>
          </rPr>
          <t xml:space="preserve">('</t>
        </r>
        <r>
          <rPr>
            <sz val="10"/>
            <rFont val="WenQuanYi Zen Hei"/>
            <family val="2"/>
          </rPr>
          <t xml:space="preserve">자동화 수행</t>
        </r>
        <r>
          <rPr>
            <sz val="10"/>
            <rFont val="Arial"/>
            <family val="2"/>
          </rPr>
          <t xml:space="preserve">', '</t>
        </r>
        <r>
          <rPr>
            <sz val="10"/>
            <rFont val="WenQuanYi Zen Hei"/>
            <family val="2"/>
          </rPr>
          <t xml:space="preserve">자동화 스크립트 작성기법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WenQuanYi Zen Hei"/>
            <family val="2"/>
          </rPr>
          <t xml:space="preserve">등</t>
        </r>
        <r>
          <rPr>
            <sz val="10"/>
            <rFont val="Arial"/>
            <family val="2"/>
          </rPr>
          <t xml:space="preserve">) → RFP </t>
        </r>
        <r>
          <rPr>
            <sz val="10"/>
            <rFont val="WenQuanYi Zen Hei"/>
            <family val="2"/>
          </rPr>
          <t xml:space="preserve">초안과 본 </t>
        </r>
        <r>
          <rPr>
            <sz val="10"/>
            <rFont val="Arial"/>
            <family val="2"/>
          </rPr>
          <t xml:space="preserve">RFP </t>
        </r>
        <r>
          <rPr>
            <sz val="10"/>
            <rFont val="WenQuanYi Zen Hei"/>
            <family val="2"/>
          </rPr>
          <t xml:space="preserve">버전 차이로 추정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수령 </t>
        </r>
        <r>
          <rPr>
            <sz val="10"/>
            <rFont val="Arial"/>
            <family val="2"/>
          </rPr>
          <t xml:space="preserve">PDF </t>
        </r>
        <r>
          <rPr>
            <sz val="10"/>
            <rFont val="WenQuanYi Zen Hei"/>
            <family val="2"/>
          </rPr>
          <t xml:space="preserve">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WenQuanYi Zen Hei"/>
            <family val="2"/>
          </rPr>
          <t xml:space="preserve">개</t>
        </r>
      </text>
    </comment>
    <comment ref="F22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(</t>
        </r>
        <r>
          <rPr>
            <sz val="10"/>
            <rFont val="WenQuanYi Zen Hei"/>
            <family val="2"/>
          </rPr>
          <t xml:space="preserve">대응 행 없음</t>
        </r>
        <r>
          <rPr>
            <sz val="10"/>
            <rFont val="Arial"/>
            <family val="2"/>
          </rPr>
          <t xml:space="preserve">)
※ </t>
        </r>
        <r>
          <rPr>
            <sz val="10"/>
            <rFont val="WenQuanYi Zen Hei"/>
            <family val="2"/>
          </rPr>
          <t xml:space="preserve">타 자료 </t>
        </r>
        <r>
          <rPr>
            <sz val="10"/>
            <rFont val="Arial"/>
            <family val="2"/>
          </rPr>
          <t xml:space="preserve">COR-001</t>
        </r>
        <r>
          <rPr>
            <sz val="10"/>
            <rFont val="WenQuanYi Zen Hei"/>
            <family val="2"/>
          </rPr>
          <t xml:space="preserve">은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개 항목이며 문구가 수령 </t>
        </r>
        <r>
          <rPr>
            <sz val="10"/>
            <rFont val="Arial"/>
            <family val="2"/>
          </rPr>
          <t xml:space="preserve">PDF</t>
        </r>
        <r>
          <rPr>
            <sz val="10"/>
            <rFont val="WenQuanYi Zen Hei"/>
            <family val="2"/>
          </rPr>
          <t xml:space="preserve">와 다름</t>
        </r>
        <r>
          <rPr>
            <sz val="10"/>
            <rFont val="Arial"/>
            <family val="2"/>
          </rPr>
          <t xml:space="preserve">('</t>
        </r>
        <r>
          <rPr>
            <sz val="10"/>
            <rFont val="WenQuanYi Zen Hei"/>
            <family val="2"/>
          </rPr>
          <t xml:space="preserve">자동화 수행</t>
        </r>
        <r>
          <rPr>
            <sz val="10"/>
            <rFont val="Arial"/>
            <family val="2"/>
          </rPr>
          <t xml:space="preserve">', '</t>
        </r>
        <r>
          <rPr>
            <sz val="10"/>
            <rFont val="WenQuanYi Zen Hei"/>
            <family val="2"/>
          </rPr>
          <t xml:space="preserve">자동화 스크립트 작성기법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WenQuanYi Zen Hei"/>
            <family val="2"/>
          </rPr>
          <t xml:space="preserve">등</t>
        </r>
        <r>
          <rPr>
            <sz val="10"/>
            <rFont val="Arial"/>
            <family val="2"/>
          </rPr>
          <t xml:space="preserve">) → RFP </t>
        </r>
        <r>
          <rPr>
            <sz val="10"/>
            <rFont val="WenQuanYi Zen Hei"/>
            <family val="2"/>
          </rPr>
          <t xml:space="preserve">초안과 본 </t>
        </r>
        <r>
          <rPr>
            <sz val="10"/>
            <rFont val="Arial"/>
            <family val="2"/>
          </rPr>
          <t xml:space="preserve">RFP </t>
        </r>
        <r>
          <rPr>
            <sz val="10"/>
            <rFont val="WenQuanYi Zen Hei"/>
            <family val="2"/>
          </rPr>
          <t xml:space="preserve">버전 차이로 추정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수령 </t>
        </r>
        <r>
          <rPr>
            <sz val="10"/>
            <rFont val="Arial"/>
            <family val="2"/>
          </rPr>
          <t xml:space="preserve">PDF </t>
        </r>
        <r>
          <rPr>
            <sz val="10"/>
            <rFont val="WenQuanYi Zen Hei"/>
            <family val="2"/>
          </rPr>
          <t xml:space="preserve">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WenQuanYi Zen Hei"/>
            <family val="2"/>
          </rPr>
          <t xml:space="preserve">개</t>
        </r>
      </text>
    </comment>
    <comment ref="F22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(</t>
        </r>
        <r>
          <rPr>
            <sz val="10"/>
            <rFont val="WenQuanYi Zen Hei"/>
            <family val="2"/>
          </rPr>
          <t xml:space="preserve">대응 행 없음</t>
        </r>
        <r>
          <rPr>
            <sz val="10"/>
            <rFont val="Arial"/>
            <family val="2"/>
          </rPr>
          <t xml:space="preserve">)
※ </t>
        </r>
        <r>
          <rPr>
            <sz val="10"/>
            <rFont val="WenQuanYi Zen Hei"/>
            <family val="2"/>
          </rPr>
          <t xml:space="preserve">타 자료 </t>
        </r>
        <r>
          <rPr>
            <sz val="10"/>
            <rFont val="Arial"/>
            <family val="2"/>
          </rPr>
          <t xml:space="preserve">COR-001</t>
        </r>
        <r>
          <rPr>
            <sz val="10"/>
            <rFont val="WenQuanYi Zen Hei"/>
            <family val="2"/>
          </rPr>
          <t xml:space="preserve">은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개 항목이며 문구가 수령 </t>
        </r>
        <r>
          <rPr>
            <sz val="10"/>
            <rFont val="Arial"/>
            <family val="2"/>
          </rPr>
          <t xml:space="preserve">PDF</t>
        </r>
        <r>
          <rPr>
            <sz val="10"/>
            <rFont val="WenQuanYi Zen Hei"/>
            <family val="2"/>
          </rPr>
          <t xml:space="preserve">와 다름</t>
        </r>
        <r>
          <rPr>
            <sz val="10"/>
            <rFont val="Arial"/>
            <family val="2"/>
          </rPr>
          <t xml:space="preserve">('</t>
        </r>
        <r>
          <rPr>
            <sz val="10"/>
            <rFont val="WenQuanYi Zen Hei"/>
            <family val="2"/>
          </rPr>
          <t xml:space="preserve">자동화 수행</t>
        </r>
        <r>
          <rPr>
            <sz val="10"/>
            <rFont val="Arial"/>
            <family val="2"/>
          </rPr>
          <t xml:space="preserve">', '</t>
        </r>
        <r>
          <rPr>
            <sz val="10"/>
            <rFont val="WenQuanYi Zen Hei"/>
            <family val="2"/>
          </rPr>
          <t xml:space="preserve">자동화 스크립트 작성기법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WenQuanYi Zen Hei"/>
            <family val="2"/>
          </rPr>
          <t xml:space="preserve">등</t>
        </r>
        <r>
          <rPr>
            <sz val="10"/>
            <rFont val="Arial"/>
            <family val="2"/>
          </rPr>
          <t xml:space="preserve">) → RFP </t>
        </r>
        <r>
          <rPr>
            <sz val="10"/>
            <rFont val="WenQuanYi Zen Hei"/>
            <family val="2"/>
          </rPr>
          <t xml:space="preserve">초안과 본 </t>
        </r>
        <r>
          <rPr>
            <sz val="10"/>
            <rFont val="Arial"/>
            <family val="2"/>
          </rPr>
          <t xml:space="preserve">RFP </t>
        </r>
        <r>
          <rPr>
            <sz val="10"/>
            <rFont val="WenQuanYi Zen Hei"/>
            <family val="2"/>
          </rPr>
          <t xml:space="preserve">버전 차이로 추정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수령 </t>
        </r>
        <r>
          <rPr>
            <sz val="10"/>
            <rFont val="Arial"/>
            <family val="2"/>
          </rPr>
          <t xml:space="preserve">PDF </t>
        </r>
        <r>
          <rPr>
            <sz val="10"/>
            <rFont val="WenQuanYi Zen Hei"/>
            <family val="2"/>
          </rPr>
          <t xml:space="preserve">기준 </t>
        </r>
        <r>
          <rPr>
            <sz val="10"/>
            <rFont val="Arial"/>
            <family val="2"/>
          </rPr>
          <t xml:space="preserve">o </t>
        </r>
        <r>
          <rPr>
            <sz val="10"/>
            <rFont val="WenQuanYi Zen Hei"/>
            <family val="2"/>
          </rPr>
          <t xml:space="preserve">항목은 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WenQuanYi Zen Hei"/>
            <family val="2"/>
          </rPr>
          <t xml:space="preserve">개</t>
        </r>
      </text>
    </comment>
    <comment ref="T69" authorId="0">
      <text>
        <r>
          <rPr>
            <sz val="10"/>
            <rFont val="Arial"/>
            <family val="2"/>
          </rPr>
          <t xml:space="preserve">jinseo.kim:
</t>
        </r>
        <r>
          <rPr>
            <sz val="10"/>
            <rFont val="WenQuanYi Zen Hei"/>
            <family val="2"/>
          </rPr>
          <t xml:space="preserve">당초 </t>
        </r>
        <r>
          <rPr>
            <sz val="10"/>
            <rFont val="Arial"/>
            <family val="2"/>
          </rPr>
          <t xml:space="preserve">4MM</t>
        </r>
        <r>
          <rPr>
            <sz val="10"/>
            <rFont val="WenQuanYi Zen Hei"/>
            <family val="2"/>
          </rPr>
          <t xml:space="preserve">로 산정
아래 </t>
        </r>
        <r>
          <rPr>
            <sz val="10"/>
            <rFont val="Arial"/>
            <family val="2"/>
          </rPr>
          <t xml:space="preserve">8/24 JIRA comment</t>
        </r>
        <r>
          <rPr>
            <sz val="10"/>
            <rFont val="WenQuanYi Zen Hei"/>
            <family val="2"/>
          </rPr>
          <t xml:space="preserve">에 따라 삭제
</t>
        </r>
        <r>
          <rPr>
            <sz val="10"/>
            <rFont val="Arial"/>
            <family val="2"/>
          </rPr>
          <t xml:space="preserve">1. RAG : </t>
        </r>
        <r>
          <rPr>
            <sz val="10"/>
            <rFont val="WenQuanYi Zen Hei"/>
            <family val="2"/>
          </rPr>
          <t xml:space="preserve">법률데이터</t>
        </r>
        <r>
          <rPr>
            <sz val="10"/>
            <rFont val="Arial"/>
            <family val="2"/>
          </rPr>
          <t xml:space="preserve">RAG</t>
        </r>
        <r>
          <rPr>
            <sz val="10"/>
            <rFont val="WenQuanYi Zen Hei"/>
            <family val="2"/>
          </rPr>
          <t xml:space="preserve">는 코난영역 아니고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유사판결문데이터만 코난 </t>
        </r>
        <r>
          <rPr>
            <sz val="10"/>
            <rFont val="Arial"/>
            <family val="2"/>
          </rPr>
          <t xml:space="preserve">RAG 
2.  Konan LLM </t>
        </r>
        <r>
          <rPr>
            <sz val="10"/>
            <rFont val="WenQuanYi Zen Hei"/>
            <family val="2"/>
          </rPr>
          <t xml:space="preserve">납품 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미정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코난 영업대표와 협의 예정</t>
        </r>
        <r>
          <rPr>
            <sz val="10"/>
            <rFont val="Arial"/>
            <family val="2"/>
          </rPr>
          <t xml:space="preserve">) 
3. </t>
        </r>
        <r>
          <rPr>
            <sz val="10"/>
            <rFont val="WenQuanYi Zen Hei"/>
            <family val="2"/>
          </rPr>
          <t xml:space="preserve">법령정보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양형기준 검색 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코난 영역 아님  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</t>
        </r>
        <r>
          <rPr>
            <sz val="10"/>
            <rFont val="WenQuanYi Zen Hei"/>
            <family val="2"/>
          </rPr>
          <t xml:space="preserve">낙찰자 정액 지급 항목 등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해당 시 기재</t>
        </r>
        <r>
          <rPr>
            <sz val="10"/>
            <rFont val="Arial"/>
            <family val="2"/>
          </rPr>
          <t xml:space="preserve">)</t>
        </r>
      </text>
    </comment>
    <comment ref="G1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타 작성자 </t>
        </r>
        <r>
          <rPr>
            <sz val="10"/>
            <rFont val="Arial"/>
            <family val="2"/>
          </rPr>
          <t xml:space="preserve">v0.1]
</t>
        </r>
        <r>
          <rPr>
            <sz val="10"/>
            <rFont val="WenQuanYi Zen Hei"/>
            <family val="2"/>
          </rPr>
          <t xml:space="preserve">상주 인력 출장비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상주 비용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상주 범위 확정 후 산정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<sst xmlns="http://schemas.openxmlformats.org/spreadsheetml/2006/main" count="2008" uniqueCount="1002">
  <si>
    <r>
      <rPr>
        <b val="true"/>
        <sz val="18"/>
        <color rgb="FF1F3864"/>
        <rFont val="맑은 고딕"/>
        <family val="3"/>
        <charset val="129"/>
      </rPr>
      <t xml:space="preserve">Pre-VRB </t>
    </r>
    <r>
      <rPr>
        <b val="true"/>
        <sz val="18"/>
        <color rgb="FF1F3864"/>
        <rFont val="WenQuanYi Zen Hei"/>
        <family val="2"/>
      </rPr>
      <t xml:space="preserve">공통시트 </t>
    </r>
    <r>
      <rPr>
        <b val="true"/>
        <sz val="18"/>
        <color rgb="FF1F3864"/>
        <rFont val="맑은 고딕"/>
        <family val="3"/>
        <charset val="129"/>
      </rPr>
      <t xml:space="preserve">V1.1   [</t>
    </r>
    <r>
      <rPr>
        <b val="true"/>
        <sz val="18"/>
        <color rgb="FF1F3864"/>
        <rFont val="WenQuanYi Zen Hei"/>
        <family val="2"/>
      </rPr>
      <t xml:space="preserve">배포용 템플릿</t>
    </r>
    <r>
      <rPr>
        <b val="true"/>
        <sz val="18"/>
        <color rgb="FF1F3864"/>
        <rFont val="맑은 고딕"/>
        <family val="3"/>
        <charset val="129"/>
      </rPr>
      <t xml:space="preserve">]</t>
    </r>
  </si>
  <si>
    <r>
      <rPr>
        <sz val="10"/>
        <color rgb="FF2E5496"/>
        <rFont val="맑은 고딕"/>
        <family val="3"/>
        <charset val="129"/>
      </rPr>
      <t xml:space="preserve">VRB(Value &amp; Verification Review Board) </t>
    </r>
    <r>
      <rPr>
        <sz val="10"/>
        <color rgb="FF2E5496"/>
        <rFont val="WenQuanYi Zen Hei"/>
        <family val="2"/>
      </rPr>
      <t xml:space="preserve">상정 前 부문 공통 사전검토 양식</t>
    </r>
  </si>
  <si>
    <t xml:space="preserve">노란 셀만 입력하십시오. 회색 셀은 다른 시트 입력값으로 자동 계산됩니다.</t>
  </si>
  <si>
    <r>
      <rPr>
        <b val="true"/>
        <sz val="11"/>
        <color rgb="FFFFFFFF"/>
        <rFont val="맑은 고딕"/>
        <family val="3"/>
        <charset val="129"/>
      </rPr>
      <t xml:space="preserve">1. </t>
    </r>
    <r>
      <rPr>
        <b val="true"/>
        <sz val="11"/>
        <color rgb="FFFFFFFF"/>
        <rFont val="WenQuanYi Zen Hei"/>
        <family val="2"/>
      </rPr>
      <t xml:space="preserve">제안 개요   </t>
    </r>
    <r>
      <rPr>
        <b val="true"/>
        <sz val="11"/>
        <color rgb="FFFFFFFF"/>
        <rFont val="맑은 고딕"/>
        <family val="3"/>
        <charset val="129"/>
      </rPr>
      <t xml:space="preserve">[</t>
    </r>
    <r>
      <rPr>
        <b val="true"/>
        <sz val="11"/>
        <color rgb="FFFFFFFF"/>
        <rFont val="WenQuanYi Zen Hei"/>
        <family val="2"/>
      </rPr>
      <t xml:space="preserve">입력</t>
    </r>
    <r>
      <rPr>
        <b val="true"/>
        <sz val="11"/>
        <color rgb="FFFFFFFF"/>
        <rFont val="맑은 고딕"/>
        <family val="3"/>
        <charset val="129"/>
      </rPr>
      <t xml:space="preserve">: </t>
    </r>
    <r>
      <rPr>
        <b val="true"/>
        <sz val="11"/>
        <color rgb="FFFFFFFF"/>
        <rFont val="WenQuanYi Zen Hei"/>
        <family val="2"/>
      </rPr>
      <t xml:space="preserve">사업부</t>
    </r>
    <r>
      <rPr>
        <b val="true"/>
        <sz val="11"/>
        <color rgb="FFFFFFFF"/>
        <rFont val="맑은 고딕"/>
        <family val="3"/>
        <charset val="129"/>
      </rPr>
      <t xml:space="preserve">(</t>
    </r>
    <r>
      <rPr>
        <b val="true"/>
        <sz val="11"/>
        <color rgb="FFFFFFFF"/>
        <rFont val="WenQuanYi Zen Hei"/>
        <family val="2"/>
      </rPr>
      <t xml:space="preserve">영업팀</t>
    </r>
    <r>
      <rPr>
        <b val="true"/>
        <sz val="11"/>
        <color rgb="FFFFFFFF"/>
        <rFont val="맑은 고딕"/>
        <family val="3"/>
        <charset val="129"/>
      </rPr>
      <t xml:space="preserve">, BD</t>
    </r>
    <r>
      <rPr>
        <b val="true"/>
        <sz val="11"/>
        <color rgb="FFFFFFFF"/>
        <rFont val="WenQuanYi Zen Hei"/>
        <family val="2"/>
      </rPr>
      <t xml:space="preserve">팀</t>
    </r>
    <r>
      <rPr>
        <b val="true"/>
        <sz val="11"/>
        <color rgb="FFFFFFFF"/>
        <rFont val="맑은 고딕"/>
        <family val="3"/>
        <charset val="129"/>
      </rPr>
      <t xml:space="preserve">)]</t>
    </r>
  </si>
  <si>
    <t xml:space="preserve">과제/제안명</t>
  </si>
  <si>
    <r>
      <rPr>
        <sz val="10"/>
        <color rgb="FF0000FF"/>
        <rFont val="맑은 고딕"/>
        <family val="3"/>
        <charset val="129"/>
      </rPr>
      <t xml:space="preserve">AI </t>
    </r>
    <r>
      <rPr>
        <sz val="10"/>
        <color rgb="FF0000FF"/>
        <rFont val="WenQuanYi Zen Hei"/>
        <family val="2"/>
      </rPr>
      <t xml:space="preserve">인프라 및 생성형 </t>
    </r>
    <r>
      <rPr>
        <sz val="10"/>
        <color rgb="FF0000FF"/>
        <rFont val="맑은 고딕"/>
        <family val="3"/>
        <charset val="129"/>
      </rPr>
      <t xml:space="preserve">AI </t>
    </r>
    <r>
      <rPr>
        <sz val="10"/>
        <color rgb="FF0000FF"/>
        <rFont val="WenQuanYi Zen Hei"/>
        <family val="2"/>
      </rPr>
      <t xml:space="preserve">구축 사업</t>
    </r>
  </si>
  <si>
    <t xml:space="preserve">고객/발주처</t>
  </si>
  <si>
    <t xml:space="preserve">신용보증재단중앙회 (발주부서: AI디지털전환부)</t>
  </si>
  <si>
    <t xml:space="preserve">사업 유형</t>
  </si>
  <si>
    <t xml:space="preserve">공공 SI — 패키지SW 도입 및 커스터마이징</t>
  </si>
  <si>
    <t xml:space="preserve">발주 방식</t>
  </si>
  <si>
    <t xml:space="preserve">경쟁입찰 / 협상에의한계약</t>
  </si>
  <si>
    <t xml:space="preserve">사업예산(추정, 원)</t>
  </si>
  <si>
    <t xml:space="preserve">사업기간</t>
  </si>
  <si>
    <t xml:space="preserve">계약체결일로부터7개월</t>
  </si>
  <si>
    <t xml:space="preserve">공고일</t>
  </si>
  <si>
    <t xml:space="preserve">2026-10-00</t>
  </si>
  <si>
    <t xml:space="preserve">제안 질의 마감일</t>
  </si>
  <si>
    <t xml:space="preserve">공고문 미명시 — 확인 필요</t>
  </si>
  <si>
    <t xml:space="preserve">입찰참가신청 마감</t>
  </si>
  <si>
    <t xml:space="preserve">2026-10-00 (0) 00:00</t>
  </si>
  <si>
    <t xml:space="preserve">제안서 제출 마감(D-day)</t>
  </si>
  <si>
    <t xml:space="preserve">낙찰자 결정방식</t>
  </si>
  <si>
    <t xml:space="preserve">협상에의한계약(기술능력평가분야배점한도의 85%이상인 자)</t>
  </si>
  <si>
    <t xml:space="preserve">기술:가격 배점</t>
  </si>
  <si>
    <t xml:space="preserve">기술 90 : 가격 10</t>
  </si>
  <si>
    <t xml:space="preserve">영업 담당</t>
  </si>
  <si>
    <r>
      <rPr>
        <sz val="10"/>
        <color rgb="FF0000FF"/>
        <rFont val="맑은 고딕"/>
        <family val="3"/>
        <charset val="129"/>
      </rPr>
      <t xml:space="preserve">AX</t>
    </r>
    <r>
      <rPr>
        <sz val="10"/>
        <color rgb="FF0000FF"/>
        <rFont val="WenQuanYi Zen Hei"/>
        <family val="2"/>
      </rPr>
      <t xml:space="preserve">서비스사업부 </t>
    </r>
    <r>
      <rPr>
        <sz val="10"/>
        <color rgb="FF0000FF"/>
        <rFont val="맑은 고딕"/>
        <family val="3"/>
        <charset val="129"/>
      </rPr>
      <t xml:space="preserve">AX</t>
    </r>
    <r>
      <rPr>
        <sz val="10"/>
        <color rgb="FF0000FF"/>
        <rFont val="WenQuanYi Zen Hei"/>
        <family val="2"/>
      </rPr>
      <t xml:space="preserve">서비스영업팀 김산 이사대우</t>
    </r>
  </si>
  <si>
    <t xml:space="preserve">사업부 담당</t>
  </si>
  <si>
    <t xml:space="preserve">연구소 담당</t>
  </si>
  <si>
    <r>
      <rPr>
        <b val="true"/>
        <sz val="10"/>
        <rFont val="맑은 고딕"/>
        <family val="3"/>
        <charset val="129"/>
      </rPr>
      <t xml:space="preserve">PMO </t>
    </r>
    <r>
      <rPr>
        <b val="true"/>
        <sz val="10"/>
        <rFont val="WenQuanYi Zen Hei"/>
        <family val="2"/>
      </rPr>
      <t xml:space="preserve">담당</t>
    </r>
  </si>
  <si>
    <r>
      <rPr>
        <sz val="10"/>
        <color rgb="FF0000FF"/>
        <rFont val="맑은 고딕"/>
        <family val="3"/>
        <charset val="129"/>
      </rPr>
      <t xml:space="preserve">AI</t>
    </r>
    <r>
      <rPr>
        <sz val="10"/>
        <color rgb="FF0000FF"/>
        <rFont val="WenQuanYi Zen Hei"/>
        <family val="2"/>
      </rPr>
      <t xml:space="preserve">사업부문 사업관리그룹 송승현 부장 </t>
    </r>
    <r>
      <rPr>
        <sz val="10"/>
        <color rgb="FF0000FF"/>
        <rFont val="맑은 고딕"/>
        <family val="3"/>
        <charset val="129"/>
      </rPr>
      <t xml:space="preserve">/ </t>
    </r>
    <r>
      <rPr>
        <sz val="10"/>
        <color rgb="FF0000FF"/>
        <rFont val="WenQuanYi Zen Hei"/>
        <family val="2"/>
      </rPr>
      <t xml:space="preserve">송인성 부장</t>
    </r>
  </si>
  <si>
    <t xml:space="preserve">전략적 가치(상/중/하)</t>
  </si>
  <si>
    <t xml:space="preserve">중</t>
  </si>
  <si>
    <t xml:space="preserve">판단 사유</t>
  </si>
  <si>
    <t xml:space="preserve">주사업자 사업 참여나 고객과 사전에 과업에 대한 범위가 조정 되었고, GPU 서버 납기로 개발이 제한됨</t>
  </si>
  <si>
    <r>
      <rPr>
        <b val="true"/>
        <sz val="11"/>
        <color rgb="FFFFFFFF"/>
        <rFont val="맑은 고딕"/>
        <family val="3"/>
        <charset val="129"/>
      </rPr>
      <t xml:space="preserve">2. </t>
    </r>
    <r>
      <rPr>
        <b val="true"/>
        <sz val="11"/>
        <color rgb="FFFFFFFF"/>
        <rFont val="WenQuanYi Zen Hei"/>
        <family val="2"/>
      </rPr>
      <t xml:space="preserve">게이트 판정 요약   </t>
    </r>
    <r>
      <rPr>
        <b val="true"/>
        <sz val="11"/>
        <color rgb="FFFFFFFF"/>
        <rFont val="맑은 고딕"/>
        <family val="3"/>
        <charset val="129"/>
      </rPr>
      <t xml:space="preserve">[</t>
    </r>
    <r>
      <rPr>
        <b val="true"/>
        <sz val="11"/>
        <color rgb="FFFFFFFF"/>
        <rFont val="WenQuanYi Zen Hei"/>
        <family val="2"/>
      </rPr>
      <t xml:space="preserve">자동 집계</t>
    </r>
    <r>
      <rPr>
        <b val="true"/>
        <sz val="11"/>
        <color rgb="FFFFFFFF"/>
        <rFont val="맑은 고딕"/>
        <family val="3"/>
        <charset val="129"/>
      </rPr>
      <t xml:space="preserve">]</t>
    </r>
  </si>
  <si>
    <t xml:space="preserve">게이트</t>
  </si>
  <si>
    <t xml:space="preserve">판정 지표</t>
  </si>
  <si>
    <t xml:space="preserve">값</t>
  </si>
  <si>
    <t xml:space="preserve">임계 기준</t>
  </si>
  <si>
    <t xml:space="preserve">판정</t>
  </si>
  <si>
    <t xml:space="preserve">비고</t>
  </si>
  <si>
    <r>
      <rPr>
        <sz val="9"/>
        <rFont val="맑은 고딕"/>
        <family val="3"/>
        <charset val="129"/>
      </rPr>
      <t xml:space="preserve">Gate 0  </t>
    </r>
    <r>
      <rPr>
        <sz val="9"/>
        <rFont val="WenQuanYi Zen Hei"/>
        <family val="2"/>
      </rPr>
      <t xml:space="preserve">적격성</t>
    </r>
  </si>
  <si>
    <t xml:space="preserve">필수 자격요건 미충족 건수</t>
  </si>
  <si>
    <r>
      <rPr>
        <sz val="9"/>
        <rFont val="맑은 고딕"/>
        <family val="3"/>
        <charset val="129"/>
      </rPr>
      <t xml:space="preserve">0 </t>
    </r>
    <r>
      <rPr>
        <sz val="9"/>
        <rFont val="WenQuanYi Zen Hei"/>
        <family val="2"/>
      </rPr>
      <t xml:space="preserve">건</t>
    </r>
  </si>
  <si>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건이라도 미충족 시 참여 불가</t>
    </r>
  </si>
  <si>
    <r>
      <rPr>
        <sz val="9"/>
        <rFont val="맑은 고딕"/>
        <family val="3"/>
        <charset val="129"/>
      </rPr>
      <t xml:space="preserve">Gate 1  </t>
    </r>
    <r>
      <rPr>
        <sz val="9"/>
        <rFont val="WenQuanYi Zen Hei"/>
        <family val="2"/>
      </rPr>
      <t xml:space="preserve">기술 실현성</t>
    </r>
  </si>
  <si>
    <t xml:space="preserve">불가(X) 판정 건수</t>
  </si>
  <si>
    <r>
      <rPr>
        <sz val="9"/>
        <rFont val="맑은 고딕"/>
        <family val="3"/>
        <charset val="129"/>
      </rPr>
      <t xml:space="preserve">X 1</t>
    </r>
    <r>
      <rPr>
        <sz val="9"/>
        <rFont val="WenQuanYi Zen Hei"/>
        <family val="2"/>
      </rPr>
      <t xml:space="preserve">건 이상 시 대안 확보 여부 확인</t>
    </r>
  </si>
  <si>
    <t xml:space="preserve">조건부(△) 비율</t>
  </si>
  <si>
    <r>
      <rPr>
        <sz val="9"/>
        <rFont val="맑은 고딕"/>
        <family val="3"/>
        <charset val="129"/>
      </rPr>
      <t xml:space="preserve">40% </t>
    </r>
    <r>
      <rPr>
        <sz val="9"/>
        <rFont val="WenQuanYi Zen Hei"/>
        <family val="2"/>
      </rPr>
      <t xml:space="preserve">이하</t>
    </r>
  </si>
  <si>
    <t xml:space="preserve">조건부 비율이 높을수록 범위 불확실성 큼</t>
  </si>
  <si>
    <r>
      <rPr>
        <sz val="9"/>
        <rFont val="맑은 고딕"/>
        <family val="3"/>
        <charset val="129"/>
      </rPr>
      <t xml:space="preserve">Gate 2  </t>
    </r>
    <r>
      <rPr>
        <sz val="9"/>
        <rFont val="WenQuanYi Zen Hei"/>
        <family val="2"/>
      </rPr>
      <t xml:space="preserve">사업성</t>
    </r>
  </si>
  <si>
    <t xml:space="preserve">예상 이익률</t>
  </si>
  <si>
    <r>
      <rPr>
        <sz val="9"/>
        <rFont val="맑은 고딕"/>
        <family val="3"/>
        <charset val="129"/>
      </rPr>
      <t xml:space="preserve">15% </t>
    </r>
    <r>
      <rPr>
        <sz val="9"/>
        <rFont val="WenQuanYi Zen Hei"/>
        <family val="2"/>
      </rPr>
      <t xml:space="preserve">이상</t>
    </r>
  </si>
  <si>
    <r>
      <rPr>
        <sz val="9"/>
        <rFont val="맑은 고딕"/>
        <family val="3"/>
        <charset val="129"/>
      </rPr>
      <t xml:space="preserve">15% </t>
    </r>
    <r>
      <rPr>
        <sz val="9"/>
        <rFont val="WenQuanYi Zen Hei"/>
        <family val="2"/>
      </rPr>
      <t xml:space="preserve">이상 통과 </t>
    </r>
    <r>
      <rPr>
        <sz val="9"/>
        <rFont val="맑은 고딕"/>
        <family val="3"/>
        <charset val="129"/>
      </rPr>
      <t xml:space="preserve">/ 5~15% </t>
    </r>
    <r>
      <rPr>
        <sz val="9"/>
        <rFont val="WenQuanYi Zen Hei"/>
        <family val="2"/>
      </rPr>
      <t xml:space="preserve">조건부 </t>
    </r>
    <r>
      <rPr>
        <sz val="9"/>
        <rFont val="맑은 고딕"/>
        <family val="3"/>
        <charset val="129"/>
      </rPr>
      <t xml:space="preserve">/ 5% </t>
    </r>
    <r>
      <rPr>
        <sz val="9"/>
        <rFont val="WenQuanYi Zen Hei"/>
        <family val="2"/>
      </rPr>
      <t xml:space="preserve">미만 불참 권고</t>
    </r>
  </si>
  <si>
    <t xml:space="preserve">미반영 원가 반영 후 이익률</t>
  </si>
  <si>
    <r>
      <rPr>
        <sz val="9"/>
        <rFont val="맑은 고딕"/>
        <family val="3"/>
        <charset val="129"/>
      </rPr>
      <t xml:space="preserve">5% </t>
    </r>
    <r>
      <rPr>
        <sz val="9"/>
        <rFont val="WenQuanYi Zen Hei"/>
        <family val="2"/>
      </rPr>
      <t xml:space="preserve">이상</t>
    </r>
  </si>
  <si>
    <t xml:space="preserve">미반영 원가 최대치 반영 기준</t>
  </si>
  <si>
    <r>
      <rPr>
        <sz val="9"/>
        <rFont val="맑은 고딕"/>
        <family val="3"/>
        <charset val="129"/>
      </rPr>
      <t xml:space="preserve">Gate 3  </t>
    </r>
    <r>
      <rPr>
        <sz val="9"/>
        <rFont val="WenQuanYi Zen Hei"/>
        <family val="2"/>
      </rPr>
      <t xml:space="preserve">리스크</t>
    </r>
  </si>
  <si>
    <t xml:space="preserve">리스크 등급 [최상] 건수</t>
  </si>
  <si>
    <r>
      <rPr>
        <sz val="9"/>
        <rFont val="맑은 고딕"/>
        <family val="3"/>
        <charset val="129"/>
      </rPr>
      <t xml:space="preserve">3</t>
    </r>
    <r>
      <rPr>
        <sz val="9"/>
        <rFont val="WenQuanYi Zen Hei"/>
        <family val="2"/>
      </rPr>
      <t xml:space="preserve">건 이하</t>
    </r>
  </si>
  <si>
    <t xml:space="preserve">최상 리스크는 대응방안 필수 기재</t>
  </si>
  <si>
    <t xml:space="preserve">미해결 확인사항 [최우선] 건수</t>
  </si>
  <si>
    <t xml:space="preserve">최우선 항목 미회신 시 제안 리스크 과다</t>
  </si>
  <si>
    <r>
      <rPr>
        <b val="true"/>
        <sz val="11"/>
        <color rgb="FFFFFFFF"/>
        <rFont val="맑은 고딕"/>
        <family val="3"/>
        <charset val="129"/>
      </rPr>
      <t xml:space="preserve">3. </t>
    </r>
    <r>
      <rPr>
        <b val="true"/>
        <sz val="11"/>
        <color rgb="FFFFFFFF"/>
        <rFont val="WenQuanYi Zen Hei"/>
        <family val="2"/>
      </rPr>
      <t xml:space="preserve">요구사항 검토 요약   </t>
    </r>
    <r>
      <rPr>
        <b val="true"/>
        <sz val="11"/>
        <color rgb="FFFFFFFF"/>
        <rFont val="맑은 고딕"/>
        <family val="3"/>
        <charset val="129"/>
      </rPr>
      <t xml:space="preserve">[</t>
    </r>
    <r>
      <rPr>
        <b val="true"/>
        <sz val="11"/>
        <color rgb="FFFFFFFF"/>
        <rFont val="WenQuanYi Zen Hei"/>
        <family val="2"/>
      </rPr>
      <t xml:space="preserve">자동 집계</t>
    </r>
    <r>
      <rPr>
        <b val="true"/>
        <sz val="11"/>
        <color rgb="FFFFFFFF"/>
        <rFont val="맑은 고딕"/>
        <family val="3"/>
        <charset val="129"/>
      </rPr>
      <t xml:space="preserve">]</t>
    </r>
  </si>
  <si>
    <t xml:space="preserve">요구사항 수 (고유 ID)</t>
  </si>
  <si>
    <t xml:space="preserve">세부항목 수</t>
  </si>
  <si>
    <t xml:space="preserve">제품 대응 (F1+F2) 건수</t>
  </si>
  <si>
    <t xml:space="preserve">제품 추가개발 (F3) 건수</t>
  </si>
  <si>
    <t xml:space="preserve">제품 미지원 (F4·SI 대상) 건수</t>
  </si>
  <si>
    <t xml:space="preserve">가능여부 O / △ / X</t>
  </si>
  <si>
    <r>
      <rPr>
        <b val="true"/>
        <sz val="11"/>
        <color rgb="FFFFFFFF"/>
        <rFont val="맑은 고딕"/>
        <family val="3"/>
        <charset val="129"/>
      </rPr>
      <t xml:space="preserve">4. </t>
    </r>
    <r>
      <rPr>
        <b val="true"/>
        <sz val="11"/>
        <color rgb="FFFFFFFF"/>
        <rFont val="WenQuanYi Zen Hei"/>
        <family val="2"/>
      </rPr>
      <t xml:space="preserve">부문별 공수 및 원가   </t>
    </r>
    <r>
      <rPr>
        <b val="true"/>
        <sz val="11"/>
        <color rgb="FFFFFFFF"/>
        <rFont val="맑은 고딕"/>
        <family val="3"/>
        <charset val="129"/>
      </rPr>
      <t xml:space="preserve">[③ </t>
    </r>
    <r>
      <rPr>
        <b val="true"/>
        <sz val="11"/>
        <color rgb="FFFFFFFF"/>
        <rFont val="WenQuanYi Zen Hei"/>
        <family val="2"/>
      </rPr>
      <t xml:space="preserve">요구사항 검토 </t>
    </r>
    <r>
      <rPr>
        <b val="true"/>
        <sz val="11"/>
        <color rgb="FFFFFFFF"/>
        <rFont val="맑은 고딕"/>
        <family val="3"/>
        <charset val="129"/>
      </rPr>
      <t xml:space="preserve">/ ⑥ </t>
    </r>
    <r>
      <rPr>
        <b val="true"/>
        <sz val="11"/>
        <color rgb="FFFFFFFF"/>
        <rFont val="WenQuanYi Zen Hei"/>
        <family val="2"/>
      </rPr>
      <t xml:space="preserve">손익 시나리오 연동</t>
    </r>
    <r>
      <rPr>
        <b val="true"/>
        <sz val="11"/>
        <color rgb="FFFFFFFF"/>
        <rFont val="맑은 고딕"/>
        <family val="3"/>
        <charset val="129"/>
      </rPr>
      <t xml:space="preserve">]</t>
    </r>
  </si>
  <si>
    <t xml:space="preserve">부문</t>
  </si>
  <si>
    <t xml:space="preserve">공수(M/M)</t>
  </si>
  <si>
    <t xml:space="preserve">비중</t>
  </si>
  <si>
    <t xml:space="preserve">월 단가(원)</t>
  </si>
  <si>
    <t xml:space="preserve">인건비(원)</t>
  </si>
  <si>
    <r>
      <rPr>
        <sz val="10"/>
        <rFont val="맑은 고딕"/>
        <family val="3"/>
        <charset val="129"/>
      </rPr>
      <t xml:space="preserve">AI</t>
    </r>
    <r>
      <rPr>
        <sz val="10"/>
        <rFont val="WenQuanYi Zen Hei"/>
        <family val="2"/>
      </rPr>
      <t xml:space="preserve">사업부문 </t>
    </r>
    <r>
      <rPr>
        <sz val="10"/>
        <rFont val="맑은 고딕"/>
        <family val="3"/>
        <charset val="129"/>
      </rPr>
      <t xml:space="preserve">- </t>
    </r>
    <r>
      <rPr>
        <sz val="10"/>
        <rFont val="WenQuanYi Zen Hei"/>
        <family val="2"/>
      </rPr>
      <t xml:space="preserve">수행</t>
    </r>
    <r>
      <rPr>
        <sz val="10"/>
        <rFont val="맑은 고딕"/>
        <family val="3"/>
        <charset val="129"/>
      </rPr>
      <t xml:space="preserve">(</t>
    </r>
    <r>
      <rPr>
        <sz val="10"/>
        <rFont val="WenQuanYi Zen Hei"/>
        <family val="2"/>
      </rPr>
      <t xml:space="preserve">개발</t>
    </r>
    <r>
      <rPr>
        <sz val="10"/>
        <rFont val="맑은 고딕"/>
        <family val="3"/>
        <charset val="129"/>
      </rPr>
      <t xml:space="preserve">)</t>
    </r>
  </si>
  <si>
    <t xml:space="preserve">제안 활동 공수 (부문 방침에 따라 산정 여부 결정)</t>
  </si>
  <si>
    <t xml:space="preserve">인공지능연구소(R&amp;D)</t>
  </si>
  <si>
    <t xml:space="preserve">제품 추가개발 공수 (③시트 Fit 판정 F3 항목)</t>
  </si>
  <si>
    <t xml:space="preserve">PM · PMO</t>
  </si>
  <si>
    <r>
      <rPr>
        <sz val="10"/>
        <rFont val="맑은 고딕"/>
        <family val="3"/>
        <charset val="129"/>
      </rPr>
      <t xml:space="preserve">PM </t>
    </r>
    <r>
      <rPr>
        <sz val="10"/>
        <rFont val="WenQuanYi Zen Hei"/>
        <family val="2"/>
      </rPr>
      <t xml:space="preserve">주관 산정 </t>
    </r>
    <r>
      <rPr>
        <sz val="10"/>
        <rFont val="맑은 고딕"/>
        <family val="3"/>
        <charset val="129"/>
      </rPr>
      <t xml:space="preserve">/ PMO </t>
    </r>
    <r>
      <rPr>
        <sz val="10"/>
        <rFont val="WenQuanYi Zen Hei"/>
        <family val="2"/>
      </rPr>
      <t xml:space="preserve">가이드</t>
    </r>
    <r>
      <rPr>
        <sz val="10"/>
        <rFont val="맑은 고딕"/>
        <family val="3"/>
        <charset val="129"/>
      </rPr>
      <t xml:space="preserve">·</t>
    </r>
    <r>
      <rPr>
        <sz val="10"/>
        <rFont val="WenQuanYi Zen Hei"/>
        <family val="2"/>
      </rPr>
      <t xml:space="preserve">검증 — 부장 단가 적용</t>
    </r>
  </si>
  <si>
    <t xml:space="preserve">외주 / 협력사</t>
  </si>
  <si>
    <t xml:space="preserve">수행부서 가용 인력 부족분을 협력업체 외주용역으로 구성</t>
  </si>
  <si>
    <t xml:space="preserve">합    계 (확정)</t>
  </si>
  <si>
    <t xml:space="preserve">외주 비중 (금액 기준)</t>
  </si>
  <si>
    <t xml:space="preserve">「소프트웨어 진흥법」 제51조: 물품(상용SW) 제외 SW사업금액의 50% 초과 불가 / 10% 초과 시 공동수급체 구성 원칙(미구성 시 사유 제시) / 하도급계획 적정성 평가와 연동</t>
  </si>
  <si>
    <r>
      <rPr>
        <b val="true"/>
        <sz val="9"/>
        <color rgb="FF595959"/>
        <rFont val="맑은 고딕"/>
        <family val="3"/>
        <charset val="129"/>
      </rPr>
      <t xml:space="preserve">[</t>
    </r>
    <r>
      <rPr>
        <b val="true"/>
        <sz val="9"/>
        <color rgb="FF595959"/>
        <rFont val="WenQuanYi Zen Hei"/>
        <family val="2"/>
      </rPr>
      <t xml:space="preserve">참고</t>
    </r>
    <r>
      <rPr>
        <b val="true"/>
        <sz val="9"/>
        <color rgb="FF595959"/>
        <rFont val="맑은 고딕"/>
        <family val="3"/>
        <charset val="129"/>
      </rPr>
      <t xml:space="preserve">] </t>
    </r>
    <r>
      <rPr>
        <b val="true"/>
        <sz val="9"/>
        <color rgb="FF595959"/>
        <rFont val="WenQuanYi Zen Hei"/>
        <family val="2"/>
      </rPr>
      <t xml:space="preserve">영업</t>
    </r>
    <r>
      <rPr>
        <b val="true"/>
        <sz val="9"/>
        <color rgb="FF595959"/>
        <rFont val="맑은 고딕"/>
        <family val="3"/>
        <charset val="129"/>
      </rPr>
      <t xml:space="preserve">(BD) </t>
    </r>
    <r>
      <rPr>
        <b val="true"/>
        <sz val="9"/>
        <color rgb="FF595959"/>
        <rFont val="WenQuanYi Zen Hei"/>
        <family val="2"/>
      </rPr>
      <t xml:space="preserve">사전산정</t>
    </r>
  </si>
  <si>
    <t xml:space="preserve">확정 대비 증감</t>
  </si>
  <si>
    <t xml:space="preserve">영업(BD) 사전산정치는 비교·검증용이며 원가 합계에는 합산하지 않습니다</t>
  </si>
  <si>
    <r>
      <rPr>
        <b val="true"/>
        <sz val="11"/>
        <color rgb="FFFFFFFF"/>
        <rFont val="맑은 고딕"/>
        <family val="3"/>
        <charset val="129"/>
      </rPr>
      <t xml:space="preserve">5. VRB </t>
    </r>
    <r>
      <rPr>
        <b val="true"/>
        <sz val="11"/>
        <color rgb="FFFFFFFF"/>
        <rFont val="WenQuanYi Zen Hei"/>
        <family val="2"/>
      </rPr>
      <t xml:space="preserve">최종 결정 및 조건   </t>
    </r>
    <r>
      <rPr>
        <b val="true"/>
        <sz val="11"/>
        <color rgb="FFFFFFFF"/>
        <rFont val="맑은 고딕"/>
        <family val="3"/>
        <charset val="129"/>
      </rPr>
      <t xml:space="preserve">[</t>
    </r>
    <r>
      <rPr>
        <b val="true"/>
        <sz val="11"/>
        <color rgb="FFFFFFFF"/>
        <rFont val="WenQuanYi Zen Hei"/>
        <family val="2"/>
      </rPr>
      <t xml:space="preserve">입력</t>
    </r>
    <r>
      <rPr>
        <b val="true"/>
        <sz val="11"/>
        <color rgb="FFFFFFFF"/>
        <rFont val="맑은 고딕"/>
        <family val="3"/>
        <charset val="129"/>
      </rPr>
      <t xml:space="preserve">: VRB / </t>
    </r>
    <r>
      <rPr>
        <b val="true"/>
        <sz val="11"/>
        <color rgb="FFFFFFFF"/>
        <rFont val="WenQuanYi Zen Hei"/>
        <family val="2"/>
      </rPr>
      <t xml:space="preserve">심의위원회 의결</t>
    </r>
    <r>
      <rPr>
        <b val="true"/>
        <sz val="11"/>
        <color rgb="FFFFFFFF"/>
        <rFont val="맑은 고딕"/>
        <family val="3"/>
        <charset val="129"/>
      </rPr>
      <t xml:space="preserve">]</t>
    </r>
  </si>
  <si>
    <r>
      <rPr>
        <b val="true"/>
        <sz val="10"/>
        <rFont val="맑은 고딕"/>
        <family val="3"/>
        <charset val="129"/>
      </rPr>
      <t xml:space="preserve">VRB </t>
    </r>
    <r>
      <rPr>
        <b val="true"/>
        <sz val="10"/>
        <rFont val="WenQuanYi Zen Hei"/>
        <family val="2"/>
      </rPr>
      <t xml:space="preserve">최종 결정</t>
    </r>
  </si>
  <si>
    <t xml:space="preserve">결정일</t>
  </si>
  <si>
    <t xml:space="preserve">의장 / 참석자</t>
  </si>
  <si>
    <t xml:space="preserve">차기 검토 시점</t>
  </si>
  <si>
    <t xml:space="preserve">결정 조건 및 단서</t>
  </si>
  <si>
    <t xml:space="preserve">미결 항목 · 후속 Action</t>
  </si>
  <si>
    <t xml:space="preserve">※ 심의위원회는 영업 및 제안 업무를 담당하는 "AX사업부문장 또는 유관 사업부장"과 구축 수행 업무를 담당하는 "AI사업부문"과 제품 개발 및 연구를 담당하는 "인공지능연구소"의 부서장이 최종 검토에 대한 의사결정을 한다. </t>
  </si>
  <si>
    <r>
      <rPr>
        <b val="true"/>
        <sz val="14"/>
        <color rgb="FF1F3864"/>
        <rFont val="맑은 고딕"/>
        <family val="3"/>
        <charset val="129"/>
      </rPr>
      <t xml:space="preserve">Gate 0 — </t>
    </r>
    <r>
      <rPr>
        <b val="true"/>
        <sz val="14"/>
        <color rgb="FF1F3864"/>
        <rFont val="WenQuanYi Zen Hei"/>
        <family val="2"/>
      </rPr>
      <t xml:space="preserve">입찰 적격성 체크리스트   </t>
    </r>
    <r>
      <rPr>
        <b val="true"/>
        <sz val="14"/>
        <color rgb="FF1F3864"/>
        <rFont val="맑은 고딕"/>
        <family val="3"/>
        <charset val="129"/>
      </rPr>
      <t xml:space="preserve">[</t>
    </r>
    <r>
      <rPr>
        <b val="true"/>
        <sz val="14"/>
        <color rgb="FF1F3864"/>
        <rFont val="WenQuanYi Zen Hei"/>
        <family val="2"/>
      </rPr>
      <t xml:space="preserve">입력</t>
    </r>
    <r>
      <rPr>
        <b val="true"/>
        <sz val="14"/>
        <color rgb="FF1F3864"/>
        <rFont val="맑은 고딕"/>
        <family val="3"/>
        <charset val="129"/>
      </rPr>
      <t xml:space="preserve">: </t>
    </r>
    <r>
      <rPr>
        <b val="true"/>
        <sz val="14"/>
        <color rgb="FF1F3864"/>
        <rFont val="WenQuanYi Zen Hei"/>
        <family val="2"/>
      </rPr>
      <t xml:space="preserve">사업부</t>
    </r>
    <r>
      <rPr>
        <b val="true"/>
        <sz val="14"/>
        <color rgb="FF1F3864"/>
        <rFont val="맑은 고딕"/>
        <family val="3"/>
        <charset val="129"/>
      </rPr>
      <t xml:space="preserve">(BD</t>
    </r>
    <r>
      <rPr>
        <b val="true"/>
        <sz val="14"/>
        <color rgb="FF1F3864"/>
        <rFont val="WenQuanYi Zen Hei"/>
        <family val="2"/>
      </rPr>
      <t xml:space="preserve">팀</t>
    </r>
    <r>
      <rPr>
        <b val="true"/>
        <sz val="14"/>
        <color rgb="FF1F3864"/>
        <rFont val="맑은 고딕"/>
        <family val="3"/>
        <charset val="129"/>
      </rPr>
      <t xml:space="preserve">) · </t>
    </r>
    <r>
      <rPr>
        <b val="true"/>
        <sz val="14"/>
        <color rgb="FF1F3864"/>
        <rFont val="WenQuanYi Zen Hei"/>
        <family val="2"/>
      </rPr>
      <t xml:space="preserve">확인</t>
    </r>
    <r>
      <rPr>
        <b val="true"/>
        <sz val="14"/>
        <color rgb="FF1F3864"/>
        <rFont val="맑은 고딕"/>
        <family val="3"/>
        <charset val="129"/>
      </rPr>
      <t xml:space="preserve">: </t>
    </r>
    <r>
      <rPr>
        <b val="true"/>
        <sz val="14"/>
        <color rgb="FF1F3864"/>
        <rFont val="WenQuanYi Zen Hei"/>
        <family val="2"/>
      </rPr>
      <t xml:space="preserve">사업부</t>
    </r>
    <r>
      <rPr>
        <b val="true"/>
        <sz val="14"/>
        <color rgb="FF1F3864"/>
        <rFont val="맑은 고딕"/>
        <family val="3"/>
        <charset val="129"/>
      </rPr>
      <t xml:space="preserve">(</t>
    </r>
    <r>
      <rPr>
        <b val="true"/>
        <sz val="14"/>
        <color rgb="FF1F3864"/>
        <rFont val="WenQuanYi Zen Hei"/>
        <family val="2"/>
      </rPr>
      <t xml:space="preserve">영업팀 및 기획팀</t>
    </r>
    <r>
      <rPr>
        <b val="true"/>
        <sz val="14"/>
        <color rgb="FF1F3864"/>
        <rFont val="맑은 고딕"/>
        <family val="3"/>
        <charset val="129"/>
      </rPr>
      <t xml:space="preserve">) / AI</t>
    </r>
    <r>
      <rPr>
        <b val="true"/>
        <sz val="14"/>
        <color rgb="FF1F3864"/>
        <rFont val="WenQuanYi Zen Hei"/>
        <family val="2"/>
      </rPr>
      <t xml:space="preserve">사업부문 </t>
    </r>
    <r>
      <rPr>
        <b val="true"/>
        <sz val="14"/>
        <color rgb="FF1F3864"/>
        <rFont val="맑은 고딕"/>
        <family val="3"/>
        <charset val="129"/>
      </rPr>
      <t xml:space="preserve">PM</t>
    </r>
    <r>
      <rPr>
        <b val="true"/>
        <sz val="14"/>
        <color rgb="FF1F3864"/>
        <rFont val="WenQuanYi Zen Hei"/>
        <family val="2"/>
      </rPr>
      <t xml:space="preserve">및</t>
    </r>
    <r>
      <rPr>
        <b val="true"/>
        <sz val="14"/>
        <color rgb="FF1F3864"/>
        <rFont val="맑은 고딕"/>
        <family val="3"/>
        <charset val="129"/>
      </rPr>
      <t xml:space="preserve">PMO]</t>
    </r>
  </si>
  <si>
    <t xml:space="preserve">★ 기술·사업성 검토에 앞서 '참여 가능 여부' 자체를 먼저 판정합니다. 필수 항목이 1건이라도 미충족이면 이후 검토는 진행하지 않습니다.</t>
  </si>
  <si>
    <t xml:space="preserve">필수 자격요건 미충족 건수 →</t>
  </si>
  <si>
    <t xml:space="preserve">No.</t>
  </si>
  <si>
    <t xml:space="preserve">구분</t>
  </si>
  <si>
    <t xml:space="preserve">확인 항목</t>
  </si>
  <si>
    <t xml:space="preserve">충족 여부</t>
  </si>
  <si>
    <t xml:space="preserve">확인자</t>
  </si>
  <si>
    <t xml:space="preserve">근거 / 비고</t>
  </si>
  <si>
    <t xml:space="preserve">필수</t>
  </si>
  <si>
    <t xml:space="preserve">입찰참가자격 — 사업자 등록·신고 요건 충족 (예: SW사업자 신고, 직접생산확인증명서, 중소기업확인서)</t>
  </si>
  <si>
    <t xml:space="preserve">기업 규모 제한 해당 여부 (대기업·중견기업 참여 제한, 상호출자제한기업집단 등)</t>
  </si>
  <si>
    <t xml:space="preserve">부정당업자 입찰참가자격 제한 이력 없음</t>
  </si>
  <si>
    <t xml:space="preserve">직접생산확인 세부품명 일치 여부</t>
  </si>
  <si>
    <t xml:space="preserve">제안 마감일까지 제안서 작성 가능한 물리적 일정 확보</t>
  </si>
  <si>
    <t xml:space="preserve">수행 가능한 핵심 인력(PM·기술) 확보 가능 여부</t>
  </si>
  <si>
    <t xml:space="preserve">검토</t>
  </si>
  <si>
    <t xml:space="preserve">공동수급 / 하도급 허용 여부 및 지분·비율 제한</t>
  </si>
  <si>
    <t xml:space="preserve">지식재산권 귀속 조건 (단독 / 공동 / 발주처 귀속) — 제품 자산 보호 가능 여부</t>
  </si>
  <si>
    <t xml:space="preserve">하자보수 기간·보증금율 및 무상 유지보수 요구 범위</t>
  </si>
  <si>
    <t xml:space="preserve">작업장소 요건 (상주 / 원격지 개발 가능 여부, 비용 부담 주체)</t>
  </si>
  <si>
    <t xml:space="preserve">성능·품질 목표치의 검증 방식 및 미달 시 책임 조항</t>
  </si>
  <si>
    <t xml:space="preserve">상용SW·HW 직접구매(분리발주) 대상 여부</t>
  </si>
  <si>
    <t xml:space="preserve">평가 방식 (블라인드·차등점수제·가격 적정성 평가 적용 여부)</t>
  </si>
  <si>
    <t xml:space="preserve">제안서 보상 제도 유무</t>
  </si>
  <si>
    <t xml:space="preserve">기존 사업자·경쟁사 대비 레퍼런스 우위 여부</t>
  </si>
  <si>
    <t xml:space="preserve">요구사항 검토 공통시트   [부문별 담당 컬럼만 입력]</t>
  </si>
  <si>
    <t xml:space="preserve">작성 순서  ①영업(BD): 제안요청서 원문을 단락 단위로 분해하여 전사하고 사전산정 공수 기재  →  ②인공지능연구소: 제품 적합도(Fit) 판정 및 제품 추가개발 공수  →  ③AI사업부문: 개발 구분·가능여부·공수 산정  →  ④PM(PMO 지원): 리스크·확인사항 연결 및 종합의견</t>
  </si>
  <si>
    <t xml:space="preserve">입력 담당 색상  ▪영업(BD)=연두  ▪인공지능연구소=파랑  ▪AI사업부문=주황  ▪PM·PMO=보라  ▪자동계산=회색      |      한 요구사항에 세부항목이 여러 개면 행을 나누어 기재하고 요구사항 ID·요구사항명은 반복 기재합니다      |      ★영업(BD) 사전산정 공수는 비교·검증용이며 확정 공수 합계에는 합산하지 않습니다</t>
  </si>
  <si>
    <t xml:space="preserve">자동</t>
  </si>
  <si>
    <t xml:space="preserve">영업</t>
  </si>
  <si>
    <t xml:space="preserve">연구소</t>
  </si>
  <si>
    <r>
      <rPr>
        <sz val="8"/>
        <color rgb="FF595959"/>
        <rFont val="맑은 고딕"/>
        <family val="3"/>
        <charset val="129"/>
      </rPr>
      <t xml:space="preserve">AI</t>
    </r>
    <r>
      <rPr>
        <sz val="8"/>
        <color rgb="FF595959"/>
        <rFont val="WenQuanYi Zen Hei"/>
        <family val="2"/>
      </rPr>
      <t xml:space="preserve">사업부문</t>
    </r>
  </si>
  <si>
    <t xml:space="preserve">Konan AI Agent</t>
  </si>
  <si>
    <t xml:space="preserve">PM·PMO</t>
  </si>
  <si>
    <t xml:space="preserve">요구사항
대분류</t>
  </si>
  <si>
    <t xml:space="preserve">요구사항 ID</t>
  </si>
  <si>
    <t xml:space="preserve">요구사항명</t>
  </si>
  <si>
    <t xml:space="preserve">세부
항목
No.</t>
  </si>
  <si>
    <t xml:space="preserve">상세 내용 (제안요청서 단락 원문)</t>
  </si>
  <si>
    <t xml:space="preserve">우선
순위</t>
  </si>
  <si>
    <t xml:space="preserve">담당 그룹</t>
  </si>
  <si>
    <t xml:space="preserve">제품 적합도
(Fit)</t>
  </si>
  <si>
    <r>
      <rPr>
        <b val="true"/>
        <sz val="9"/>
        <rFont val="맑은 고딕"/>
        <family val="3"/>
        <charset val="129"/>
      </rPr>
      <t xml:space="preserve">Fit </t>
    </r>
    <r>
      <rPr>
        <b val="true"/>
        <sz val="9"/>
        <rFont val="WenQuanYi Zen Hei"/>
        <family val="2"/>
      </rPr>
      <t xml:space="preserve">판정 근거</t>
    </r>
  </si>
  <si>
    <t xml:space="preserve">공수
연구소
(제품 추가개발)</t>
  </si>
  <si>
    <t xml:space="preserve">제품 반영 계획</t>
  </si>
  <si>
    <t xml:space="preserve">개발 구분</t>
  </si>
  <si>
    <t xml:space="preserve">가능
여부</t>
  </si>
  <si>
    <t xml:space="preserve">난이도</t>
  </si>
  <si>
    <t xml:space="preserve">공수 산정 근거</t>
  </si>
  <si>
    <t xml:space="preserve">제공/미제공</t>
  </si>
  <si>
    <t xml:space="preserve">부가설명</t>
  </si>
  <si>
    <t xml:space="preserve">공수
AI사업부문
(수행·개발)</t>
  </si>
  <si>
    <t xml:space="preserve">공수
외주·협력사</t>
  </si>
  <si>
    <t xml:space="preserve">조달 구분</t>
  </si>
  <si>
    <t xml:space="preserve">공수
PM</t>
  </si>
  <si>
    <t xml:space="preserve">공수 합계
(확정)</t>
  </si>
  <si>
    <r>
      <rPr>
        <b val="true"/>
        <sz val="9"/>
        <rFont val="맑은 고딕"/>
        <family val="3"/>
        <charset val="129"/>
      </rPr>
      <t xml:space="preserve">BD </t>
    </r>
    <r>
      <rPr>
        <b val="true"/>
        <sz val="9"/>
        <rFont val="WenQuanYi Zen Hei"/>
        <family val="2"/>
      </rPr>
      <t xml:space="preserve">사전산정
대비 증감</t>
    </r>
  </si>
  <si>
    <t xml:space="preserve">리스크 ID</t>
  </si>
  <si>
    <t xml:space="preserve">확인사항 ID</t>
  </si>
  <si>
    <r>
      <rPr>
        <b val="true"/>
        <sz val="9"/>
        <rFont val="맑은 고딕"/>
        <family val="3"/>
        <charset val="129"/>
      </rPr>
      <t xml:space="preserve">PM·PMO </t>
    </r>
    <r>
      <rPr>
        <b val="true"/>
        <sz val="9"/>
        <rFont val="WenQuanYi Zen Hei"/>
        <family val="2"/>
      </rPr>
      <t xml:space="preserve">종합의견</t>
    </r>
  </si>
  <si>
    <t xml:space="preserve">시스템·기능</t>
  </si>
  <si>
    <t xml:space="preserve">SFR-001</t>
  </si>
  <si>
    <r>
      <rPr>
        <sz val="9"/>
        <rFont val="맑은 고딕"/>
        <family val="3"/>
        <charset val="129"/>
      </rPr>
      <t xml:space="preserve">AI Core </t>
    </r>
    <r>
      <rPr>
        <sz val="9"/>
        <rFont val="WenQuanYi Zen Hei"/>
        <family val="2"/>
      </rPr>
      <t xml:space="preserve">고도화</t>
    </r>
  </si>
  <si>
    <t xml:space="preserve">◦ 기존 운영 모델의 성능 및 업무 적합성을 분석하고, 필요 시 AI 모델의 교체·적용을 통해 추론 및 응답 생성 역량을 고도화하여야 함</t>
  </si>
  <si>
    <t xml:space="preserve">◦ 복합 질의 및 다단계 업무처리가 필요한 경우, 질의를 단계적으로 분석·처리할 수 있는 추론 기능을 제공하여야 함</t>
  </si>
  <si>
    <t xml:space="preserve">◦ 사용자 질의의 의도, 대화 맥락 및 업무 맥락을 고려한 응답 생성 기능을 제공하여야 함</t>
  </si>
  <si>
    <t xml:space="preserve">◦ 사실성 및 근거성이 요구되는 업무에 대해서는 부정확하거나 근거 없는 응답을 최소화할 수 있도록 적절한 통제·검증 기능을 적용하여야 함</t>
  </si>
  <si>
    <t xml:space="preserve">◦ 제안사는 기존 운영 모델과 신규 적용 모델에 대한 성능 비교·분석 결과를 제시하여야 하며 모델 적용에 따른 서비스 품질 향상 효과를 제시하여야 함</t>
  </si>
  <si>
    <t xml:space="preserve">SFR-002</t>
  </si>
  <si>
    <r>
      <rPr>
        <sz val="9"/>
        <rFont val="맑은 고딕"/>
        <family val="3"/>
        <charset val="129"/>
      </rPr>
      <t xml:space="preserve">AI Knowledge </t>
    </r>
    <r>
      <rPr>
        <sz val="9"/>
        <rFont val="WenQuanYi Zen Hei"/>
        <family val="2"/>
      </rPr>
      <t xml:space="preserve">고도화</t>
    </r>
  </si>
  <si>
    <t xml:space="preserve">◦ 현재 운영 중인 RAG 기반 지식검색 체계의 데이터 처리·색인·검색 및 답변 생성 과정을 분석하고 검색 정확도 및 답변 품질 향상을 위한 개선방안을 제시·적용하여야 함</t>
  </si>
  <si>
    <t xml:space="preserve">◦ 업무 및 데이터 특성을 고려하여 기존 RAG의 개선·재구성 또는 신규 RAG의 추가 등 적정한 지식검색 방안을 제시·적용하여야 함</t>
  </si>
  <si>
    <t xml:space="preserve">◦ 사용자가 업무 목적에 따라 검색·답변에 활용한 지식 및 데이터의 참조범위를 설정·선택할 수 있도록 관련 기능을 고도화하여야 함</t>
  </si>
  <si>
    <t xml:space="preserve">◦ 검색 결과의 메타데이터 및 원문 연계를 통해 생성된 답변의 근거와 출처를 확인할 수 있도록 관련 기능을 고도화하여야 함</t>
  </si>
  <si>
    <t xml:space="preserve">◦ 사용자 질의와 검색 결과를 기반으로 연관 정보 탐색 및 후속 질의가 가능한 대화형 지식탐색 기능을 고도화하여야 함</t>
  </si>
  <si>
    <t xml:space="preserve">SFR-003</t>
  </si>
  <si>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실행도구 연계체계 구축</t>
    </r>
  </si>
  <si>
    <t xml:space="preserve">◦ 생성형 AI 및 AI Agent가 시스템, API 및 다양한 업무도구를 연계·활용할 수 있도록 확장 가능한 실행도구 연계체계를 구성하여야 함</t>
  </si>
  <si>
    <t xml:space="preserve">◦ 다양한 MCP 기반 도구를 통합적으로 연계·관리할 수 있도록 MCP Gateway를 구축하여야 함</t>
  </si>
  <si>
    <r>
      <rPr>
        <sz val="9"/>
        <rFont val="맑은 고딕"/>
        <family val="3"/>
        <charset val="129"/>
      </rPr>
      <t xml:space="preserve">◦ MCP </t>
    </r>
    <r>
      <rPr>
        <sz val="9"/>
        <rFont val="WenQuanYi Zen Hei"/>
        <family val="2"/>
      </rPr>
      <t xml:space="preserve">적용이 필요한 업무도구 및 시스템에 대하여 </t>
    </r>
    <r>
      <rPr>
        <sz val="9"/>
        <rFont val="맑은 고딕"/>
        <family val="3"/>
        <charset val="129"/>
      </rPr>
      <t xml:space="preserve">MCP </t>
    </r>
    <r>
      <rPr>
        <sz val="9"/>
        <rFont val="WenQuanYi Zen Hei"/>
        <family val="2"/>
      </rPr>
      <t xml:space="preserve">서버를 구성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구축하여야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업무별 </t>
    </r>
    <r>
      <rPr>
        <sz val="9"/>
        <rFont val="맑은 고딕"/>
        <family val="3"/>
        <charset val="129"/>
      </rPr>
      <t xml:space="preserve">AI Agent</t>
    </r>
    <r>
      <rPr>
        <sz val="9"/>
        <rFont val="WenQuanYi Zen Hei"/>
        <family val="2"/>
      </rPr>
      <t xml:space="preserve">의 수행절차 및 연계 대상 등을 고려하여 적정 </t>
    </r>
    <r>
      <rPr>
        <sz val="9"/>
        <rFont val="맑은 고딕"/>
        <family val="3"/>
        <charset val="129"/>
      </rPr>
      <t xml:space="preserve">MCP </t>
    </r>
    <r>
      <rPr>
        <sz val="9"/>
        <rFont val="WenQuanYi Zen Hei"/>
        <family val="2"/>
      </rPr>
      <t xml:space="preserve">서버 구성방안을 제시하여야 함</t>
    </r>
  </si>
  <si>
    <r>
      <rPr>
        <sz val="9"/>
        <rFont val="맑은 고딕"/>
        <family val="3"/>
        <charset val="129"/>
      </rPr>
      <t xml:space="preserve">◦ MCP </t>
    </r>
    <r>
      <rPr>
        <sz val="9"/>
        <rFont val="WenQuanYi Zen Hei"/>
        <family val="2"/>
      </rPr>
      <t xml:space="preserve">서버 구축 및 연계 대상은 메인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메신저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문서 생성 등 내부 업무도구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시스템을 포함할 수 있으며 세부 대상 및 구현방식은 발주기관과 협의하여 확정하여야 함</t>
    </r>
  </si>
  <si>
    <t xml:space="preserve">◦ 생성형 AI 및 AI Agent가 필요한 도구를 호출하고 실행 결과를 활용할 수 있도록 Tool Calling 기반의 도구 호출·실행 기능을 제공하여야 함</t>
  </si>
  <si>
    <t xml:space="preserve">◦ 내부 업무시스템 및 외부 API 등 다양한 서비스와의 연계 및 확장이 가능한 API 연계기능을 제공하여야 함</t>
  </si>
  <si>
    <t xml:space="preserve">◦ 데이터 분석·계산 등 정확한 처리가 필요한 업무를 지원할 수 있도록 통제된 실행환경에서 코드 실행 기반의 분석·계산 기능(Code Interpreter 등)을 제공하여야 함</t>
  </si>
  <si>
    <t xml:space="preserve">◦ 복합 업무 수행을 위해 복수의 도구 및 API를 순차적 또는 연계하여 실행하고 실행 결과를 후속 처리에 활용할 수 있어야 함</t>
  </si>
  <si>
    <t xml:space="preserve">◦ 연계 대상 및 도구별 특성을 고려하여 사용자·AI Agent별 접근권한 및 실행권한을 통제할 수 있어야 함</t>
  </si>
  <si>
    <t xml:space="preserve">◦ 생성형 AI 및 AI Agent의 업무 수행 결과를 한글(HWP) 문서로 생성·출력할 수 있는 도구를 도입·연계하여야 하며, 업무별 지정 야식에 따른 문서 생성이 가능하여야 함</t>
  </si>
  <si>
    <t xml:space="preserve">SFR-004</t>
  </si>
  <si>
    <t xml:space="preserve">업무별 특화 AI Agent 구축</t>
  </si>
  <si>
    <t xml:space="preserve">◦ 기관 업무특성을 고려한 업무별 특화 AI Agent 7개를 구축하여야 하며 세부 대상업무 및 구현범위는 현업 요구사항 분석을 통해 발주기관과 협의하여 확정하여야 함</t>
  </si>
  <si>
    <t xml:space="preserve">◦ 업무별 수행절차 및 특성을 분석하여 필요한 내부 지식(RAG), 내·외부 API, 실행도구 및 업무시스템 등을 연계·활용하고 정보 검색·분석, 데이터 처리·계산, 문서 및 결과물 생성 및 후속 업무처리 등 일련의 업무 수행을 지원할 수 있도록 구현하여야 함</t>
  </si>
  <si>
    <t xml:space="preserve">◦ 구축되는 업무별 특화 AI Agent는 기존 생성형 AI 플랫폼(KEMI)의 서비스 체계에 통합하여 제공하여야 하며 사용자가 KEMI 내에서 Agent별 서비스를 일관된 방식으로 접근·이용할 수 있도록 구현하여야 함</t>
  </si>
  <si>
    <t xml:space="preserve">◦ 업무 수행 시 사용자의 데이터·지식 및 시스템 접근권한을 준수하여야 하며, 업무 특성상 필요한 경우 사용자의 확인·승인을 거쳐 후속 업무가 수행될 수 있도록 구현하여야 함
   ※ 업무별 특화 AI Agent 구현 예시
  │ Agent 예시 │ 주요 구현내용
  │ 법률자문 업무지원 Agent │ ▪ 사내·외 법률자문 자료와 외부 법령정보 API를 활용하여 관련 정보를 검색·분석하고 법률자문 답변 초안을 지정된 HWP 양식으로 생성·전달
  │ 전자결재 문서검색·분석 Agent │ ▪ 사용자의 문서 조회권한 범위 내에서 관련 전자결재 문서를 검색·요약하고 문서번호·제목 등 주요 정보와 원문을 일괄 제공
  │ 공사설계 업무지원 Agent │ ▪ 표준품셈, 노임단가, 제경비, 물가정보 등 내·외부 데이터를 활용하여 필요 정보를 검색·분석·산출하고 설계서 초안을 지정된 형식으로 생성
  │ AI 회의록 Agent │ ▪ 회의 음성을 STT로 변환·분석하여 주요 논의·결정·조치사항을 정리하고 회의록을 지정된 HWP 양식으로 생성·전달
   - 상기 사례는 AI Agent의 구현 수준 및 방향에 대한 예시이며 실제 구축 대상업무 및 세부 구현범위는 현업 요구사항 분석 등을 통해 발주기관과 협의하여 확정한다.</t>
  </si>
  <si>
    <t xml:space="preserve">SFR-005</t>
  </si>
  <si>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사용자 경험 및 접근성 고도화</t>
    </r>
  </si>
  <si>
    <t xml:space="preserve">◦ 생성형 AI 플랫폼(KEMI)의 UI/UX를 전반적으로 개선하고, AI Agent 등 신규·고도화되는 서비스를 사용자가 직관적으로 탐색·이용할 수 있도록 메뉴 및 화면체계를 고도화하여야 함</t>
  </si>
  <si>
    <t xml:space="preserve">◦ 생성형 AI의 답변이 내용과 맥락에 따라 자연스럽고 가독성 있게 표현될 수 있도록 응답화면 및 표현방식을 고도화하고 긴 답변이나 복합적인 답변에서도 사용자가 핵심내용과 세부정보를 직관적으로 파악할 수 있도록 구현하여야 함</t>
  </si>
  <si>
    <t xml:space="preserve">◦ 생성형 AI 및 AI Agent의 답변 생성·업무 수행 시 검색, 분석, 도구 실행 등 주요 처리상태를 사용자가 직관적으로 인지할 수 있도록 상호작용 방식을 고도화하여야 함</t>
  </si>
  <si>
    <t xml:space="preserve">◦ 기존 사내 모바일 플랫폼 K-ON과 연계하여 KEMI의 주요 서비스를 모바일 환경에서도 이용할 수 있도록 구현하고 모바일 이용환경에 적합한 사용자 인터페이스를 제공하여야 함</t>
  </si>
  <si>
    <r>
      <rPr>
        <sz val="9"/>
        <rFont val="맑은 고딕"/>
        <family val="3"/>
        <charset val="129"/>
      </rPr>
      <t xml:space="preserve">◦ K-ON</t>
    </r>
    <r>
      <rPr>
        <sz val="9"/>
        <rFont val="WenQuanYi Zen Hei"/>
        <family val="2"/>
      </rPr>
      <t xml:space="preserve">을 통한 모바일 서비스에서 </t>
    </r>
    <r>
      <rPr>
        <sz val="9"/>
        <rFont val="맑은 고딕"/>
        <family val="3"/>
        <charset val="129"/>
      </rPr>
      <t xml:space="preserve">STT </t>
    </r>
    <r>
      <rPr>
        <sz val="9"/>
        <rFont val="WenQuanYi Zen Hei"/>
        <family val="2"/>
      </rPr>
      <t xml:space="preserve">기반 음성입력 및 </t>
    </r>
    <r>
      <rPr>
        <sz val="9"/>
        <rFont val="맑은 고딕"/>
        <family val="3"/>
        <charset val="129"/>
      </rPr>
      <t xml:space="preserve">TTS </t>
    </r>
    <r>
      <rPr>
        <sz val="9"/>
        <rFont val="WenQuanYi Zen Hei"/>
        <family val="2"/>
      </rPr>
      <t xml:space="preserve">기반 음성출력 기능을 제공하고 생성형 </t>
    </r>
    <r>
      <rPr>
        <sz val="9"/>
        <rFont val="맑은 고딕"/>
        <family val="3"/>
        <charset val="129"/>
      </rPr>
      <t xml:space="preserve">AI</t>
    </r>
    <r>
      <rPr>
        <sz val="9"/>
        <rFont val="WenQuanYi Zen Hei"/>
        <family val="2"/>
      </rPr>
      <t xml:space="preserve">와 연계한 음성 기반 질의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응답이 가능하도록 구현하여야 함</t>
    </r>
  </si>
  <si>
    <t xml:space="preserve">◦ 사용자와 생성형 AI 간 자연스러운 음성 상호작용을 지원할 수 있도록 연속적인 음성 대화 기능을 제공하여야 함</t>
  </si>
  <si>
    <t xml:space="preserve">SFR-006</t>
  </si>
  <si>
    <r>
      <rPr>
        <sz val="9"/>
        <rFont val="맑은 고딕"/>
        <family val="3"/>
        <charset val="129"/>
      </rPr>
      <t xml:space="preserve">LLMOps </t>
    </r>
    <r>
      <rPr>
        <sz val="9"/>
        <rFont val="WenQuanYi Zen Hei"/>
        <family val="2"/>
      </rPr>
      <t xml:space="preserve">기반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 운영관리 고도화</t>
    </r>
  </si>
  <si>
    <t xml:space="preserve">◦ 기존 LLMOps 운영관리 기능을 분석·고도화하고 이번 사업을 통해 신규·변경되는 AI 서비스 및 구성요소를 통합적으로 관리할 수 있도록 기능을 확대하여야 함</t>
  </si>
  <si>
    <r>
      <rPr>
        <sz val="9"/>
        <rFont val="맑은 고딕"/>
        <family val="3"/>
        <charset val="129"/>
      </rPr>
      <t xml:space="preserve">◦ AI </t>
    </r>
    <r>
      <rPr>
        <sz val="9"/>
        <rFont val="WenQuanYi Zen Hei"/>
        <family val="2"/>
      </rPr>
      <t xml:space="preserve">모델</t>
    </r>
    <r>
      <rPr>
        <sz val="9"/>
        <rFont val="맑은 고딕"/>
        <family val="3"/>
        <charset val="129"/>
      </rPr>
      <t xml:space="preserve">, RAG, AI Agent, MCP </t>
    </r>
    <r>
      <rPr>
        <sz val="9"/>
        <rFont val="WenQuanYi Zen Hei"/>
        <family val="2"/>
      </rPr>
      <t xml:space="preserve">및 실행도구 등 주요 구성요소의 운영상태와 연계현황을 확인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관리할 수 있도록 </t>
    </r>
    <r>
      <rPr>
        <sz val="9"/>
        <rFont val="맑은 고딕"/>
        <family val="3"/>
        <charset val="129"/>
      </rPr>
      <t xml:space="preserve">LLMOps </t>
    </r>
    <r>
      <rPr>
        <sz val="9"/>
        <rFont val="WenQuanYi Zen Hei"/>
        <family val="2"/>
      </rPr>
      <t xml:space="preserve">기능을 고도화하여야 함</t>
    </r>
  </si>
  <si>
    <t xml:space="preserve">◦ 생성형 AI 및 AI Agent의 서비스 이용현황, 실행현황 및 주요 운영정보를 확인·분석할 수 있도록 관리 기능을 고도화하여야 함</t>
  </si>
  <si>
    <r>
      <rPr>
        <sz val="9"/>
        <rFont val="맑은 고딕"/>
        <family val="3"/>
        <charset val="129"/>
      </rPr>
      <t xml:space="preserve">◦ AI Agent</t>
    </r>
    <r>
      <rPr>
        <sz val="9"/>
        <rFont val="WenQuanYi Zen Hei"/>
        <family val="2"/>
      </rPr>
      <t xml:space="preserve">의 업무 수행 및 도구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시스템 연계 과정에서 발생하는 주요 실행 이력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처리상태 및 오류정보를 확인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추적할 수 있도록 하여야 함</t>
    </r>
  </si>
  <si>
    <t xml:space="preserve">◦ 주요 AI 서비스의 운영현황 및 이상상태를 효율적으로 파악할 수 있도록 모니터링 및 관리자 대시보드 기능을 고도화하여야 함</t>
  </si>
  <si>
    <t xml:space="preserve">SFR-007</t>
  </si>
  <si>
    <r>
      <rPr>
        <sz val="9"/>
        <rFont val="맑은 고딕"/>
        <family val="3"/>
        <charset val="129"/>
      </rPr>
      <t xml:space="preserve">NPU </t>
    </r>
    <r>
      <rPr>
        <sz val="9"/>
        <rFont val="WenQuanYi Zen Hei"/>
        <family val="2"/>
      </rPr>
      <t xml:space="preserve">기반 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 구축 및 실증</t>
    </r>
  </si>
  <si>
    <r>
      <rPr>
        <sz val="9"/>
        <rFont val="맑은 고딕"/>
        <family val="3"/>
        <charset val="129"/>
      </rPr>
      <t xml:space="preserve">◦ NPU </t>
    </r>
    <r>
      <rPr>
        <sz val="9"/>
        <rFont val="WenQuanYi Zen Hei"/>
        <family val="2"/>
      </rPr>
      <t xml:space="preserve">기반 </t>
    </r>
    <r>
      <rPr>
        <sz val="9"/>
        <rFont val="맑은 고딕"/>
        <family val="3"/>
        <charset val="129"/>
      </rPr>
      <t xml:space="preserve">STT·TTS </t>
    </r>
    <r>
      <rPr>
        <sz val="9"/>
        <rFont val="WenQuanYi Zen Hei"/>
        <family val="2"/>
      </rPr>
      <t xml:space="preserve">서비스의 안정적인 운영을 위해 </t>
    </r>
    <r>
      <rPr>
        <sz val="9"/>
        <rFont val="맑은 고딕"/>
        <family val="3"/>
        <charset val="129"/>
      </rPr>
      <t xml:space="preserve">NPU </t>
    </r>
    <r>
      <rPr>
        <sz val="9"/>
        <rFont val="WenQuanYi Zen Hei"/>
        <family val="2"/>
      </rPr>
      <t xml:space="preserve">및 구동에 필요한 서버 등 관련 장비를 도입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구성하여야 하며 해당 환경의 구축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설치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연계 및 정상 운영에 필요한 제반사항을 사업범위에 포함함</t>
    </r>
  </si>
  <si>
    <r>
      <rPr>
        <sz val="9"/>
        <rFont val="맑은 고딕"/>
        <family val="3"/>
        <charset val="129"/>
      </rPr>
      <t xml:space="preserve">◦ NPU </t>
    </r>
    <r>
      <rPr>
        <sz val="9"/>
        <rFont val="WenQuanYi Zen Hei"/>
        <family val="2"/>
      </rPr>
      <t xml:space="preserve">환경에서 구동 가능한 </t>
    </r>
    <r>
      <rPr>
        <sz val="9"/>
        <rFont val="맑은 고딕"/>
        <family val="3"/>
        <charset val="129"/>
      </rPr>
      <t xml:space="preserve">STT·TTS </t>
    </r>
    <r>
      <rPr>
        <sz val="9"/>
        <rFont val="WenQuanYi Zen Hei"/>
        <family val="2"/>
      </rPr>
      <t xml:space="preserve">및 화자분리 등 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기능을 도입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적용하고 </t>
    </r>
    <r>
      <rPr>
        <sz val="9"/>
        <rFont val="맑은 고딕"/>
        <family val="3"/>
        <charset val="129"/>
      </rPr>
      <t xml:space="preserve">KEMI</t>
    </r>
    <r>
      <rPr>
        <sz val="9"/>
        <rFont val="WenQuanYi Zen Hei"/>
        <family val="2"/>
      </rPr>
      <t xml:space="preserve">와 연계하여 안정적으로 활용될 수 있도록 설치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구성 및 최적화하여야 함</t>
    </r>
  </si>
  <si>
    <r>
      <rPr>
        <sz val="9"/>
        <rFont val="맑은 고딕"/>
        <family val="3"/>
        <charset val="129"/>
      </rPr>
      <t xml:space="preserve">◦ TTS</t>
    </r>
    <r>
      <rPr>
        <sz val="9"/>
        <rFont val="WenQuanYi Zen Hei"/>
        <family val="2"/>
      </rPr>
      <t xml:space="preserve">는 서비스 목적 및 특성에 적합한 음성을 적용할 수 있도록 음성 선택 및 커스터마이징 기능을 제공하여야 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발주기관이 지정한 음성 특성을 반영한 맞춤형 음성을 생성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적용할 수 있어야 함</t>
    </r>
  </si>
  <si>
    <t xml:space="preserve">◦ 구축된 NPU 기반 음성 AI 환경에 대한 기능·성능 및 안정성 등을 검증하고 실제 서비스 환경에서의 적용 가능성을 확인하기 위한 실증을 수행하여야 함</t>
  </si>
  <si>
    <t xml:space="preserve">ECR-001</t>
  </si>
  <si>
    <r>
      <rPr>
        <sz val="9"/>
        <rFont val="맑은 고딕"/>
        <family val="3"/>
        <charset val="129"/>
      </rPr>
      <t xml:space="preserve">NPU </t>
    </r>
    <r>
      <rPr>
        <sz val="9"/>
        <rFont val="WenQuanYi Zen Hei"/>
        <family val="2"/>
      </rPr>
      <t xml:space="preserve">기반 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서버 도입</t>
    </r>
  </si>
  <si>
    <r>
      <rPr>
        <sz val="9"/>
        <rFont val="맑은 고딕"/>
        <family val="3"/>
        <charset val="129"/>
      </rPr>
      <t xml:space="preserve">◦ STT·TTS </t>
    </r>
    <r>
      <rPr>
        <sz val="9"/>
        <rFont val="WenQuanYi Zen Hei"/>
        <family val="2"/>
      </rPr>
      <t xml:space="preserve">및 화자분리 등 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 구동을 위해 국산 </t>
    </r>
    <r>
      <rPr>
        <sz val="9"/>
        <rFont val="맑은 고딕"/>
        <family val="3"/>
        <charset val="129"/>
      </rPr>
      <t xml:space="preserve">NPU </t>
    </r>
    <r>
      <rPr>
        <sz val="9"/>
        <rFont val="WenQuanYi Zen Hei"/>
        <family val="2"/>
      </rPr>
      <t xml:space="preserve">가속기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개 이상을 탑재한 서버급 시스템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식을 공급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구성하여야 함</t>
    </r>
  </si>
  <si>
    <r>
      <rPr>
        <sz val="9"/>
        <rFont val="맑은 고딕"/>
        <family val="3"/>
        <charset val="129"/>
      </rPr>
      <t xml:space="preserve">◦ NPU </t>
    </r>
    <r>
      <rPr>
        <sz val="9"/>
        <rFont val="WenQuanYi Zen Hei"/>
        <family val="2"/>
      </rPr>
      <t xml:space="preserve">가속기의 수량 및 구성은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개를 기본으로 하되 서비스의 요구성능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동시처리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안정성 및 향후 확장성 등을 고려하여 필요한 경우 추가 구성을 제안할 수 있으며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제안사는 그 구성 및 산정근거를 제시하여야 함</t>
    </r>
  </si>
  <si>
    <t xml:space="preserve">◦ 공급 장비는 NPU의 정상적인 구동 및 음성 AI 서비스 운영에 필요한 서버본체, CPU, 메모리, 저장장치 등 제반 하드웨어와 소프트웨어·드라이버 및 관리도구 등을 포함하여야 함</t>
  </si>
  <si>
    <t xml:space="preserve">◦ 서버는 제안하는 NPU 및 음성 AI 서비스의 특성을 고려하여 CPU, 메모리, 저장장치, 확장슬롯 등 주요 자원이 과도하거나 부족하지 않도록 균형 있게 구성하여야 하며, 성능·운영 및 확장성을 고려한 최적의 시스템 구성 방안과 그 적정성을 제시하여야 함</t>
  </si>
  <si>
    <t xml:space="preserve">◦ 제안사는 서버 및 NPU의 제조사·모델명, 주요 구성, 기술사양 및 NPU 탑재수량과 제안하는 음성 AI 기능과의 호환성·성능 적정성 및 확장성을 제안서에 제시하여야 함</t>
  </si>
  <si>
    <t xml:space="preserve">인터페이스</t>
  </si>
  <si>
    <t xml:space="preserve">INR-001</t>
  </si>
  <si>
    <t xml:space="preserve">시스템 연계 및 인터페이스 구성</t>
  </si>
  <si>
    <r>
      <rPr>
        <sz val="9"/>
        <rFont val="맑은 고딕"/>
        <family val="3"/>
        <charset val="129"/>
      </rPr>
      <t xml:space="preserve">◦ KEMI</t>
    </r>
    <r>
      <rPr>
        <sz val="9"/>
        <rFont val="WenQuanYi Zen Hei"/>
        <family val="2"/>
      </rPr>
      <t xml:space="preserve">와 사내 업무시스템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모바일 플랫폼</t>
    </r>
    <r>
      <rPr>
        <sz val="9"/>
        <rFont val="맑은 고딕"/>
        <family val="3"/>
        <charset val="129"/>
      </rPr>
      <t xml:space="preserve">(K-ON), </t>
    </r>
    <r>
      <rPr>
        <sz val="9"/>
        <rFont val="WenQuanYi Zen Hei"/>
        <family val="2"/>
      </rPr>
      <t xml:space="preserve">외부 </t>
    </r>
    <r>
      <rPr>
        <sz val="9"/>
        <rFont val="맑은 고딕"/>
        <family val="3"/>
        <charset val="129"/>
      </rPr>
      <t xml:space="preserve">API </t>
    </r>
    <r>
      <rPr>
        <sz val="9"/>
        <rFont val="WenQuanYi Zen Hei"/>
        <family val="2"/>
      </rPr>
      <t xml:space="preserve">및 신규 도입 구성요소 간 안정적인 서비스 연계가 가능하도록 인터페이스를 구성하여야 함</t>
    </r>
  </si>
  <si>
    <t xml:space="preserve">◦ 시스템 간 연계는 대상 시스템의 기존 인터페이스 및 운영환경을 고려하여 구성하고 기존 시스템에 미치는 영향을 최소화하여야 함</t>
  </si>
  <si>
    <t xml:space="preserve">◦ 시스템 간 데이터 및 서비스 연계 시 표준·개방형 인터페이스를 우선 고려하고 향후 연계대상의 추가·변경 및 확장이 용이하도록 구성하여야 함</t>
  </si>
  <si>
    <t xml:space="preserve">◦ 시스템 간 연계 과정에서 발생하는 호출·처리결과 및 오류상태 등을 확인·추적할 수 있도록 구성하고 장애 발생 시 원인 파악 및 대응이 가능하여야 함</t>
  </si>
  <si>
    <r>
      <rPr>
        <sz val="9"/>
        <rFont val="맑은 고딕"/>
        <family val="3"/>
        <charset val="129"/>
      </rPr>
      <t xml:space="preserve">◦ AI Agent </t>
    </r>
    <r>
      <rPr>
        <sz val="9"/>
        <rFont val="WenQuanYi Zen Hei"/>
        <family val="2"/>
      </rPr>
      <t xml:space="preserve">등을 통한 시스템 연계 시 대상 시스템의 사용자 권한 및 접근통제 정책을 준수하고 사용자의 허용된 권한 범위 내에서 데이터 조회 및 업무 수행이 이루어지도록 구성하여야 함</t>
    </r>
  </si>
  <si>
    <t xml:space="preserve">INR-002</t>
  </si>
  <si>
    <t xml:space="preserve">외부 API 및 서비스 연계</t>
  </si>
  <si>
    <t xml:space="preserve">◦ 업무 목적 및 서비스 특성을 고려하여 외부 API 및 서비스와 연계하고 AI Agent 등 관련 서비스에서 활용할 수 있도록 구성하여야 함</t>
  </si>
  <si>
    <t xml:space="preserve">◦ 제안사는 AI 서비스의 업무 활용성을 높일 수 있는 외부 API 및 서비스를 검토하여 연계 대상과 활용 방안을 제안하여야 함</t>
  </si>
  <si>
    <t xml:space="preserve">◦ 연계하는 외부 API 및 서비스의 제공정보, 이용조건, 인증방식, 호출제한, 라이선스 및 비용 발생 여부 등 이용조건을 사전에 확인하고 제시하여야 함</t>
  </si>
  <si>
    <t xml:space="preserve">◦ 외부 API 및 서비스의 변경·중단·오류 등으로 인한 서비스 영향을 최소화할 수 있도록 적절한 예외처리 및 대응방안을 마련하여야 함</t>
  </si>
  <si>
    <t xml:space="preserve">성능·품질</t>
  </si>
  <si>
    <t xml:space="preserve">PER-001</t>
  </si>
  <si>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 응답성능 요구사항</t>
    </r>
  </si>
  <si>
    <t xml:space="preserve">◦ 사용자 질의에 대한 응답 개시 및 처리시간 등 주요 응답성능을 적정 수준으로 확보하고 응답 생성 과정을 확인할 수 있도록 스트리밍 방식 등 적정한 응답 방식을 적용하여야 함</t>
  </si>
  <si>
    <t xml:space="preserve">◦ 다수 사용자의 동시 이용 및 요청 증가 상황에서도 안정적인 서비스 제공이 가능하도록 처리성능을 확보하여야 함</t>
  </si>
  <si>
    <r>
      <rPr>
        <sz val="9"/>
        <rFont val="맑은 고딕"/>
        <family val="3"/>
        <charset val="129"/>
      </rPr>
      <t xml:space="preserve">◦ LLM </t>
    </r>
    <r>
      <rPr>
        <sz val="9"/>
        <rFont val="WenQuanYi Zen Hei"/>
        <family val="2"/>
      </rPr>
      <t xml:space="preserve">추론</t>
    </r>
    <r>
      <rPr>
        <sz val="9"/>
        <rFont val="맑은 고딕"/>
        <family val="3"/>
        <charset val="129"/>
      </rPr>
      <t xml:space="preserve">, RAG </t>
    </r>
    <r>
      <rPr>
        <sz val="9"/>
        <rFont val="WenQuanYi Zen Hei"/>
        <family val="2"/>
      </rPr>
      <t xml:space="preserve">검색</t>
    </r>
    <r>
      <rPr>
        <sz val="9"/>
        <rFont val="맑은 고딕"/>
        <family val="3"/>
        <charset val="129"/>
      </rPr>
      <t xml:space="preserve">, AI Agent</t>
    </r>
    <r>
      <rPr>
        <sz val="9"/>
        <rFont val="WenQuanYi Zen Hei"/>
        <family val="2"/>
      </rPr>
      <t xml:space="preserve">의 도구 호출 등 서비스 처리 단계별 성능 저하 요인을 분석하고 최적화하여야 함</t>
    </r>
  </si>
  <si>
    <t xml:space="preserve">◦ 서비스 특성을 고려하여 응답시간, 처리량 등 주요 성능지표와 목표수준을 제안하고 실제 운영환경을 고려한 성능시험을 통해 검증하여야 하며 목표수준 미달 시 필요한 개선조치를 수행하여야 함</t>
  </si>
  <si>
    <t xml:space="preserve">PER-002</t>
  </si>
  <si>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모델 및 서비스 품질 요구사항</t>
    </r>
  </si>
  <si>
    <t xml:space="preserve">◦ 적용 또는 교체하는 LLM에 대하여 MMLU, IFEval 등 모델 특성에 적합한 공신력 있는 공개 벤치마크를 활용하여 성능을 평가하고 모델·버전 및 평가 방법 등 객관적 비교에 필요한 정보를 제시하여야 함</t>
  </si>
  <si>
    <t xml:space="preserve">◦ 공개 벤치마크 평가와 별도로 발주기관의 업무 특성을 반영한 평가 데이터셋 및 평가기준을 마련하여 AI 모델 및 서비스의 업무 적합성을 검증하여야 함</t>
  </si>
  <si>
    <r>
      <rPr>
        <sz val="9"/>
        <rFont val="맑은 고딕"/>
        <family val="3"/>
        <charset val="129"/>
      </rPr>
      <t xml:space="preserve">◦ RAG </t>
    </r>
    <r>
      <rPr>
        <sz val="9"/>
        <rFont val="WenQuanYi Zen Hei"/>
        <family val="2"/>
      </rPr>
      <t xml:space="preserve">기반 서비스에 대하여 검색결과의 적합성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답변의 정확성 및 근거정보와의 일치성 등 서비스 품질을 평가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검증하여야 함</t>
    </r>
  </si>
  <si>
    <t xml:space="preserve">◦ 업무별 특화 AI Agent는 서비스별 목적과 특성을 고려한 품질평가 기준을 마련하고 실제 업무 활용 가능성을 검증하여야 함</t>
  </si>
  <si>
    <r>
      <rPr>
        <sz val="9"/>
        <rFont val="맑은 고딕"/>
        <family val="3"/>
        <charset val="129"/>
      </rPr>
      <t xml:space="preserve">◦ AI </t>
    </r>
    <r>
      <rPr>
        <sz val="9"/>
        <rFont val="WenQuanYi Zen Hei"/>
        <family val="2"/>
      </rPr>
      <t xml:space="preserve">모델 또는 주요 구성요소의 변경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고도화 시 변경 전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후의 성능 및 품질을 비교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검증하고 그 결과를 제시하여야 함</t>
    </r>
  </si>
  <si>
    <t xml:space="preserve">◦ 세부 평가항목, 평가방법 및 목표수준은 발주기관과 협의를 통해 확정하고 목표수준 미달 시 필요한 개선조치를 수행하여야 함</t>
  </si>
  <si>
    <t xml:space="preserve">PER-003</t>
  </si>
  <si>
    <t xml:space="preserve">음성 AI 처리성능 요구사항</t>
  </si>
  <si>
    <t xml:space="preserve">◦ 도입 NPU 환경에서 STT·TTS 및 화자분리 등 음성 AI 기능의 안정적인 처리성능과 서비스 품질을 확보하여야 함</t>
  </si>
  <si>
    <r>
      <rPr>
        <sz val="9"/>
        <rFont val="맑은 고딕"/>
        <family val="3"/>
        <charset val="129"/>
      </rPr>
      <t xml:space="preserve">◦ STT</t>
    </r>
    <r>
      <rPr>
        <sz val="9"/>
        <rFont val="WenQuanYi Zen Hei"/>
        <family val="2"/>
      </rPr>
      <t xml:space="preserve">는 음성인식 정확도</t>
    </r>
    <r>
      <rPr>
        <sz val="9"/>
        <rFont val="맑은 고딕"/>
        <family val="3"/>
        <charset val="129"/>
      </rPr>
      <t xml:space="preserve">(WER </t>
    </r>
    <r>
      <rPr>
        <sz val="9"/>
        <rFont val="WenQuanYi Zen Hei"/>
        <family val="2"/>
      </rPr>
      <t xml:space="preserve">또는 이에 준하는 지표</t>
    </r>
    <r>
      <rPr>
        <sz val="9"/>
        <rFont val="맑은 고딕"/>
        <family val="3"/>
        <charset val="129"/>
      </rPr>
      <t xml:space="preserve">) </t>
    </r>
    <r>
      <rPr>
        <sz val="9"/>
        <rFont val="WenQuanYi Zen Hei"/>
        <family val="2"/>
      </rPr>
      <t xml:space="preserve">및 처리속도</t>
    </r>
    <r>
      <rPr>
        <sz val="9"/>
        <rFont val="맑은 고딕"/>
        <family val="3"/>
        <charset val="129"/>
      </rPr>
      <t xml:space="preserve">, TTS</t>
    </r>
    <r>
      <rPr>
        <sz val="9"/>
        <rFont val="WenQuanYi Zen Hei"/>
        <family val="2"/>
      </rPr>
      <t xml:space="preserve">는 음성품질</t>
    </r>
    <r>
      <rPr>
        <sz val="9"/>
        <rFont val="맑은 고딕"/>
        <family val="3"/>
        <charset val="129"/>
      </rPr>
      <t xml:space="preserve">(MOS </t>
    </r>
    <r>
      <rPr>
        <sz val="9"/>
        <rFont val="WenQuanYi Zen Hei"/>
        <family val="2"/>
      </rPr>
      <t xml:space="preserve">또는 이에 준하는 지표</t>
    </r>
    <r>
      <rPr>
        <sz val="9"/>
        <rFont val="맑은 고딕"/>
        <family val="3"/>
        <charset val="129"/>
      </rPr>
      <t xml:space="preserve">) </t>
    </r>
    <r>
      <rPr>
        <sz val="9"/>
        <rFont val="WenQuanYi Zen Hei"/>
        <family val="2"/>
      </rPr>
      <t xml:space="preserve">및 처리속도 등 주요 성능지표에 대한 목표수준을 제시하고 검증하여야 함</t>
    </r>
  </si>
  <si>
    <t xml:space="preserve">◦ 화자분리는 화자 구분 정확도 등 기능 특성에 적합한 성능지표와 목표수준을 제시하고 검증하여야 함</t>
  </si>
  <si>
    <t xml:space="preserve">◦ 실제 업무 및 서비스 이용환경의 특성을 고려하여 NPU 기반 음성 AI 서비스의 처리성능 및 안정성에 대한 실증을 수행하고 그 결과를 제시하여야 하며 세부 평가방법 및 목표수준은 발주기관과 협의를 통해 확정하여야 함</t>
  </si>
  <si>
    <t xml:space="preserve">보안</t>
  </si>
  <si>
    <t xml:space="preserve">SER-001</t>
  </si>
  <si>
    <t xml:space="preserve">사업수행 보안관리</t>
  </si>
  <si>
    <t xml:space="preserve">◦ 계약상대자는 발주자의 보안정책 및 관련 법령·지침을 준수하여 사업수행 전반에 보안관리계획을 수립하고 이행하여야 함</t>
  </si>
  <si>
    <t xml:space="preserve">◦ 사업 참여인력에 대한 보안서약, 보안교육 및 접근권한 관리 등 인적 보안대책을 마련하여야 하며 참여인력 변경 시 필요한 보안조치를 수행하여야 함</t>
  </si>
  <si>
    <t xml:space="preserve">◦ 사업수행 과정에서 생성·취득하는 문서, 자료 및 정보는 발주자가 지정한 방법에 따라 관리하고 발주자의 승인 없이 외부에 제공·반출·유출하여서는 아니 됨</t>
  </si>
  <si>
    <t xml:space="preserve">◦ 사업수행에 사용되는 PC, 저장매체 및 기타 장비에 대하여 발주자의 보안기준에 따른 물리적·관리적·기술적 보호조치를 적용하여야 함</t>
  </si>
  <si>
    <t xml:space="preserve">◦ 보안사고 또는 정보유출 등 보안상 문제가 발생하거나 이를 인지한 경우 즉시 발주자에게 보고하고 필요한 조치 및 사고 대응에 협조하여야 함</t>
  </si>
  <si>
    <t xml:space="preserve">◦ 사업 종료 시 사업수행 과정에서 취득·생성된 자료 및 정보는 발주자의 기준에 따라 반납 또는 완전 삭제·폐기하고 그 결과를 확인할 수 있는 자료를 제출하여야 함</t>
  </si>
  <si>
    <t xml:space="preserve">SER-002</t>
  </si>
  <si>
    <t xml:space="preserve">시스템 및 정보보호</t>
  </si>
  <si>
    <t xml:space="preserve">◦ 중요정보 및 민감정보를 저장·전송 시 발주자의 보안정책에 따른 암호화 등 적절한 보호조치를 적용하여야 함</t>
  </si>
  <si>
    <t xml:space="preserve">◦ 사용자 인증정보, 비밀번호, API Key 등 중요정보는 소스코드에 직접 저장하지 않고 안전하게 관리하여야 함</t>
  </si>
  <si>
    <t xml:space="preserve">◦ 시스템 및 주요 기능에 대한 접근권한은 최소권한 원칙에 따라 역할별로 구분·관리하여야 함</t>
  </si>
  <si>
    <t xml:space="preserve">◦ 불필요한 계정, 서비스 및 통신 포트 등을 제거·제한하여 보안상 불필요한 접근경로를 최소화하여야 함</t>
  </si>
  <si>
    <t xml:space="preserve">SER-003</t>
  </si>
  <si>
    <t xml:space="preserve">개인정보 보호</t>
  </si>
  <si>
    <t xml:space="preserve">◦ 「개인정보 보호법」 등 관련 법령 및 발주자의 개인정보 보호 관련 규정·지침을 준수하여야 함</t>
  </si>
  <si>
    <t xml:space="preserve">◦ 개인정보는 사업수행에 필요한 최소한의 범위에서 처리하여야 하며 목적 외 이용·제공 및 불필요한 저장을 방지하여야 함</t>
  </si>
  <si>
    <t xml:space="preserve">◦ 개인정보를 처리하는 경우 중요도 및 처리환경을 고려하여 암호화, 가명처리 등 적절한 보호조치를 적용하여야 함</t>
  </si>
  <si>
    <t xml:space="preserve">◦ 개인정보 유출·분실·훼손 등 사고 발생 시 즉시 발주자에게 보고하고 사고 대응 및 피해 최소화를 위한 조치를 수행하여야 하며 계약상대자의 귀책사유로 발생한 사고에 대해서는 관련 법령 및 계약조건에 따른 책임을 부담하여야 함</t>
  </si>
  <si>
    <t xml:space="preserve">◦ 사업 종료 또는 개인정보의 처리목적 달성 시 관련 법령 및 발주자 기준에 따라 지체 없이 파기하거나 필요한 조치를 수행하여야 함</t>
  </si>
  <si>
    <t xml:space="preserve">SER-004</t>
  </si>
  <si>
    <t xml:space="preserve">개발보안 및 취약점 관리</t>
  </si>
  <si>
    <t xml:space="preserve">◦ 관련 법령·지침 및 발주자의 보안기준에 따라 소프트웨어 개발보안(시큐어 코딩)을 적용하여 개발 단계에서 보안취약점을 예방·식별하고 필요한 조치를 수행하여야 함</t>
  </si>
  <si>
    <t xml:space="preserve">◦ 웹·애플리케이션, 서버, DB 등 구축·변경 대상에 대하여 보안취약점 점검을 수행하고 발견된 취약점에 대한 조치를 완료하여야 함</t>
  </si>
  <si>
    <t xml:space="preserve">◦ 오픈소스 소프트웨어 및 외부 라이브러리 등 도입·활용 구성요소에 대하여 알려진 보안취약점(CVE 등)을 확인하고 필요한 조치를 수행하여야 함</t>
  </si>
  <si>
    <t xml:space="preserve">◦ 사업 완료 전 발주자의 보안점검 및 취약점 진단에 협조하여야 하며 발견된 보안취약점에 대한 조치결과를 제출하여야 함</t>
  </si>
  <si>
    <t xml:space="preserve">SER-005</t>
  </si>
  <si>
    <t xml:space="preserve">생성형 AI 모델 및 데이터 보안</t>
  </si>
  <si>
    <r>
      <rPr>
        <sz val="9"/>
        <rFont val="맑은 고딕"/>
        <family val="3"/>
        <charset val="129"/>
      </rPr>
      <t xml:space="preserve">◦ AI </t>
    </r>
    <r>
      <rPr>
        <sz val="9"/>
        <rFont val="WenQuanYi Zen Hei"/>
        <family val="2"/>
      </rPr>
      <t xml:space="preserve">모델의 도입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적용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고도화 과정에서 주요 자산에 대한 접근권한 및 보호 방안을 마련하여야 함</t>
    </r>
  </si>
  <si>
    <r>
      <rPr>
        <sz val="9"/>
        <rFont val="맑은 고딕"/>
        <family val="3"/>
        <charset val="129"/>
      </rPr>
      <t xml:space="preserve">◦ RAG </t>
    </r>
    <r>
      <rPr>
        <sz val="9"/>
        <rFont val="WenQuanYi Zen Hei"/>
        <family val="2"/>
      </rPr>
      <t xml:space="preserve">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서비스에 활용되는 사내 문서 및 지식정보는 원천 데이터의 접근권한 및 보안수준을 고려하여 활용하고 비인가 사용자가 권한이 없는 정보에 접근하지 못하도록 하여야 함</t>
    </r>
  </si>
  <si>
    <r>
      <rPr>
        <sz val="9"/>
        <rFont val="맑은 고딕"/>
        <family val="3"/>
        <charset val="129"/>
      </rPr>
      <t xml:space="preserve">◦ AI </t>
    </r>
    <r>
      <rPr>
        <sz val="9"/>
        <rFont val="WenQuanYi Zen Hei"/>
        <family val="2"/>
      </rPr>
      <t xml:space="preserve">모델의 학습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튜닝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평가 등에 데이터를 활용하는 경우 개인정보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민감정보 및 중요정보의 불필요한 포함 또는 외부 유출을 방지하기 위한 보호조치를 적용하여야 함</t>
    </r>
  </si>
  <si>
    <r>
      <rPr>
        <sz val="9"/>
        <rFont val="맑은 고딕"/>
        <family val="3"/>
        <charset val="129"/>
      </rPr>
      <t xml:space="preserve">◦ AI </t>
    </r>
    <r>
      <rPr>
        <sz val="9"/>
        <rFont val="WenQuanYi Zen Hei"/>
        <family val="2"/>
      </rPr>
      <t xml:space="preserve">모델 및 주요 데이터의 출처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버전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변경이력 등을 관리하여 무단 변경 및 오염 여부를 확인할 수 있도록 하여야 함</t>
    </r>
  </si>
  <si>
    <t xml:space="preserve">SER-006</t>
  </si>
  <si>
    <t xml:space="preserve">생성형 AI 서비스 보안</t>
  </si>
  <si>
    <r>
      <rPr>
        <sz val="9"/>
        <rFont val="맑은 고딕"/>
        <family val="3"/>
        <charset val="129"/>
      </rPr>
      <t xml:space="preserve">◦ Prompt Injection, Jailbreak </t>
    </r>
    <r>
      <rPr>
        <sz val="9"/>
        <rFont val="WenQuanYi Zen Hei"/>
        <family val="2"/>
      </rPr>
      <t xml:space="preserve">등 생성형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특화 보안위협을 고려하여 악의적 입력 및 비정상적인 요청을 탐지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통제할 수 있는 보안대책을 마련하여야 함</t>
    </r>
  </si>
  <si>
    <t xml:space="preserve">◦ 생성형 AI의 입력·출력 과정에서 개인정보, 민감정보 및 중요정보가 비인가 사용자에게 노출되거나 외부로 유출되지 않도록 보호조치를 적용하여야 함</t>
  </si>
  <si>
    <t xml:space="preserve">◦ 생성형 AI 서비스에 적용되는 보안정책 및 통제기능은 서비스 및 모델의 변경·고도화에 따라 적용·관리할 수 있도록 구성하여야 함</t>
  </si>
  <si>
    <t xml:space="preserve">SER-007</t>
  </si>
  <si>
    <r>
      <rPr>
        <sz val="9"/>
        <rFont val="맑은 고딕"/>
        <family val="3"/>
        <charset val="129"/>
      </rPr>
      <t xml:space="preserve">AI Agent </t>
    </r>
    <r>
      <rPr>
        <sz val="9"/>
        <rFont val="WenQuanYi Zen Hei"/>
        <family val="2"/>
      </rPr>
      <t xml:space="preserve">및 </t>
    </r>
    <r>
      <rPr>
        <sz val="9"/>
        <rFont val="맑은 고딕"/>
        <family val="3"/>
        <charset val="129"/>
      </rPr>
      <t xml:space="preserve">MCP </t>
    </r>
    <r>
      <rPr>
        <sz val="9"/>
        <rFont val="WenQuanYi Zen Hei"/>
        <family val="2"/>
      </rPr>
      <t xml:space="preserve">보안</t>
    </r>
  </si>
  <si>
    <r>
      <rPr>
        <sz val="9"/>
        <rFont val="맑은 고딕"/>
        <family val="3"/>
        <charset val="129"/>
      </rPr>
      <t xml:space="preserve">◦ AI Agent</t>
    </r>
    <r>
      <rPr>
        <sz val="9"/>
        <rFont val="WenQuanYi Zen Hei"/>
        <family val="2"/>
      </rPr>
      <t xml:space="preserve">의 업무 수행 및 </t>
    </r>
    <r>
      <rPr>
        <sz val="9"/>
        <rFont val="맑은 고딕"/>
        <family val="3"/>
        <charset val="129"/>
      </rPr>
      <t xml:space="preserve">Tool </t>
    </r>
    <r>
      <rPr>
        <sz val="9"/>
        <rFont val="WenQuanYi Zen Hei"/>
        <family val="2"/>
      </rPr>
      <t xml:space="preserve">호출 시 사용자의 권한 범위를 초과하여 시스템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데이터에 접근하거나 기능을 실행하지 않도록 통제하여야 함</t>
    </r>
  </si>
  <si>
    <r>
      <rPr>
        <sz val="9"/>
        <rFont val="맑은 고딕"/>
        <family val="3"/>
        <charset val="129"/>
      </rPr>
      <t xml:space="preserve">◦ MCP Gateway, MCP Server </t>
    </r>
    <r>
      <rPr>
        <sz val="9"/>
        <rFont val="WenQuanYi Zen Hei"/>
        <family val="2"/>
      </rPr>
      <t xml:space="preserve">및 연계 </t>
    </r>
    <r>
      <rPr>
        <sz val="9"/>
        <rFont val="맑은 고딕"/>
        <family val="3"/>
        <charset val="129"/>
      </rPr>
      <t xml:space="preserve">Tool </t>
    </r>
    <r>
      <rPr>
        <sz val="9"/>
        <rFont val="WenQuanYi Zen Hei"/>
        <family val="2"/>
      </rPr>
      <t xml:space="preserve">등에 대하여 인증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인가 및 접근통제를 적용하고 최소권한 원칙에 따라 실행권한을 관리하여야 함</t>
    </r>
  </si>
  <si>
    <t xml:space="preserve">◦ 중요정보의 변경·등록·전송 등 업무에 영향을 미치는 주요 기능을 AI Agent가 수행하는 경우 업무 중요도 및 위험수준을 고려하여 사용자 확인·승인 등 적절한 통제절차를 적용하여야 함</t>
  </si>
  <si>
    <r>
      <rPr>
        <sz val="9"/>
        <rFont val="맑은 고딕"/>
        <family val="3"/>
        <charset val="129"/>
      </rPr>
      <t xml:space="preserve">◦ AI Agent</t>
    </r>
    <r>
      <rPr>
        <sz val="9"/>
        <rFont val="WenQuanYi Zen Hei"/>
        <family val="2"/>
      </rPr>
      <t xml:space="preserve">의 주요 </t>
    </r>
    <r>
      <rPr>
        <sz val="9"/>
        <rFont val="맑은 고딕"/>
        <family val="3"/>
        <charset val="129"/>
      </rPr>
      <t xml:space="preserve">Tool </t>
    </r>
    <r>
      <rPr>
        <sz val="9"/>
        <rFont val="WenQuanYi Zen Hei"/>
        <family val="2"/>
      </rPr>
      <t xml:space="preserve">호출 및 업무 실행에 대한 이력을 기록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관리하여 실행 주체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대상 및 결과 등을 추적할 수 있도록 구성하여야 함</t>
    </r>
  </si>
  <si>
    <t xml:space="preserve">SER-008</t>
  </si>
  <si>
    <r>
      <rPr>
        <sz val="9"/>
        <rFont val="맑은 고딕"/>
        <family val="3"/>
        <charset val="129"/>
      </rPr>
      <t xml:space="preserve">API </t>
    </r>
    <r>
      <rPr>
        <sz val="9"/>
        <rFont val="WenQuanYi Zen Hei"/>
        <family val="2"/>
      </rPr>
      <t xml:space="preserve">및 외부 서비스 연계 보안</t>
    </r>
  </si>
  <si>
    <t xml:space="preserve">◦ 내·외부 API 및 서비스 연계 시 인증·인가, 접근통제 및 전송구간 암호화 등 적절한 보안조치를 적용하여야 함</t>
  </si>
  <si>
    <r>
      <rPr>
        <sz val="9"/>
        <rFont val="맑은 고딕"/>
        <family val="3"/>
        <charset val="129"/>
      </rPr>
      <t xml:space="preserve">◦ API Key </t>
    </r>
    <r>
      <rPr>
        <sz val="9"/>
        <rFont val="WenQuanYi Zen Hei"/>
        <family val="2"/>
      </rPr>
      <t xml:space="preserve">등 연계에 사용되는 인증정보가 노출되지 않도록 안전하게 저장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관리하고 필요한 경우 갱신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폐기할 수 있도록 하여야 함</t>
    </r>
  </si>
  <si>
    <t xml:space="preserve">◦ 외부 API 및 서비스 연계 시 사내 업무정보, 개인정보 및 중요정보가 불필요하게 외부로 전송되지 않도록 통제하여야 하며, 정보의 외부 전송이 필욯나 경우 발주자의 보안정책 및 승인절차를 준수하여야 함</t>
  </si>
  <si>
    <t xml:space="preserve">◦ 외부 API 및 서비스의 도입·연계 시 서비스의 보안성, 데이터 처리·보관방식 및 이용조건 등을 사전에 검토하고 발주자와 협의를 통해 적용하여야 함</t>
  </si>
  <si>
    <t xml:space="preserve">QUR-001</t>
  </si>
  <si>
    <t xml:space="preserve">품질관리</t>
  </si>
  <si>
    <t xml:space="preserve">◦ 사업 전반의 체계적인 품질관리를 위해 품질보증계획을 수립하고, 품질관리 조직·방법·절차 및 수행방안을 제시하여 지속적으로 이행하여야 함</t>
  </si>
  <si>
    <t xml:space="preserve">◦ 사업수행 과정에서 예상되는 위험요소를 식별·관리하고 사업단계별 품질점검 및 의사소통 등 필요한 품질보증 활동을 수행하여야 함</t>
  </si>
  <si>
    <t xml:space="preserve">QUR-002</t>
  </si>
  <si>
    <t xml:space="preserve">산출물 관리</t>
  </si>
  <si>
    <t xml:space="preserve">◦ 사업수행 과정에서 생산되는 산출물의 종류, 주요내용, 작성·제출시기 및 관리방안을 제시하고 사업일정과 연계하여 체계적으로 관리하여야 함</t>
  </si>
  <si>
    <t xml:space="preserve">◦ 제출된 산출물에 대해 발주자의 오류·누락·미비사항 등의 수정·보완 요구가 있는 경우 이를 반영하여야 함</t>
  </si>
  <si>
    <t xml:space="preserve">QUR-003</t>
  </si>
  <si>
    <t xml:space="preserve">장애대응 및 서비스 안정화</t>
  </si>
  <si>
    <t xml:space="preserve">◦ 서비스 장애 발생 시 신속한 대응 및 복구가 가능하도록 장애대응 절차 및 비상연락체계 등 대응방안을 마련하여야 함</t>
  </si>
  <si>
    <t xml:space="preserve">◦ 구축·고도화된 기능에 대해 기능·연계·성능 등을 충분히 검증하고 정식 서비스 적용에 필요한 안정화 활동을 수행하여야 함</t>
  </si>
  <si>
    <t xml:space="preserve">◦ 정식 서비스 적용 후 발생하는 오류·장애 등에 대한 안정화 지원방안을 수립·제시하고 필요한 조치를 수행하여야 함</t>
  </si>
  <si>
    <t xml:space="preserve">QUR-004</t>
  </si>
  <si>
    <t xml:space="preserve">유지보수성 및 운영 편의성</t>
  </si>
  <si>
    <t xml:space="preserve">◦ 구축·고도화된 기능, 시스템 구성, 인터페이스 및 운영·관리 방법 등 필요한 정보를 사용자·관리자 매뉴얼에 반영하여야 함</t>
  </si>
  <si>
    <r>
      <rPr>
        <sz val="9"/>
        <rFont val="맑은 고딕"/>
        <family val="3"/>
        <charset val="129"/>
      </rPr>
      <t xml:space="preserve">◦ DB </t>
    </r>
    <r>
      <rPr>
        <sz val="9"/>
        <rFont val="WenQuanYi Zen Hei"/>
        <family val="2"/>
      </rPr>
      <t xml:space="preserve">구조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주요 설정정보 및 소스코드 등 시스템의 유지보수에 필요한 기술정보를 체계적으로 작성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관리하여야 함</t>
    </r>
  </si>
  <si>
    <t xml:space="preserve">◦ 시스템은 향후 기능 개선 및 확장을 고려하여 유지보수가 용이하도록 구성하고 기존 시스템과의 상호운용성 및 확장성을 고려하여야 함</t>
  </si>
  <si>
    <t xml:space="preserve">◦ 보안취약점 조치, 오류 수정 및 성능 개선 등 필요한 경우 관련 패치 및 개선사항을 적용할 수 있도록 지원하여야 함</t>
  </si>
  <si>
    <t xml:space="preserve">◦ 사업수행에 따라 변경되는 시스템 구성도, AI 서비스 아키텍처, 시스템 간 연계구성 등 주요 기술문서를 현행화하여야 함</t>
  </si>
  <si>
    <t xml:space="preserve">QUR-005</t>
  </si>
  <si>
    <t xml:space="preserve">변경요구사항 관리</t>
  </si>
  <si>
    <t xml:space="preserve">◦ 사업수행 중 요구사항의 추가·변경·삭제가 필요한 경우 변경내용, 사유 및 영향범위 등을 검토하고 발주자와 협의를 통해 변경사항을 관리하여야 함</t>
  </si>
  <si>
    <t xml:space="preserve">◦ 변경관리 절차를 통해 승인된 요구사항은 최종 요구사항 기준(Baseline)으로 관리하고 관련 설계·개발·시험 및 산출물에 일관되게 반영하여야 함</t>
  </si>
  <si>
    <t xml:space="preserve">◦ 최종 확정된 요구사항의 구현 여부는 시험 및 검증을 통해 확인하고 미충족 사항에 대해서는 필요한 조치를 수행하여야 함</t>
  </si>
  <si>
    <t xml:space="preserve">데이터</t>
  </si>
  <si>
    <t xml:space="preserve">DAR-001</t>
  </si>
  <si>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활용 데이터 구축 및 고도화</t>
    </r>
  </si>
  <si>
    <t xml:space="preserve">◦ 기존 RAG에 활용되는 사내 문서 및 업무데이터의 파싱·정제·청킹·색인 등 데이터 처리 현황을 분석하고 검색 및 활용 품질을 저해하는 문제점을 개선하여야 함</t>
  </si>
  <si>
    <t xml:space="preserve">◦ 신규 RAG 또는 업무별 특화 AI Agent 등에 활용되는 데이터는 문서 유형, 데이터 구조 및 업무 특성을 고려하여 적절한 전처리·청킹·색인 방식을 적용하여야 함</t>
  </si>
  <si>
    <r>
      <rPr>
        <sz val="9"/>
        <rFont val="맑은 고딕"/>
        <family val="3"/>
        <charset val="129"/>
      </rPr>
      <t xml:space="preserve">◦ HWP, PDF, </t>
    </r>
    <r>
      <rPr>
        <sz val="9"/>
        <rFont val="WenQuanYi Zen Hei"/>
        <family val="2"/>
      </rPr>
      <t xml:space="preserve">전자결재 문서 등 다양한 형태의 비정형 데이터는 본문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제목 등 주요 내용과 문서 구조가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활용에 적합하게 처리될 수 있도록 구성하여야 함</t>
    </r>
  </si>
  <si>
    <t xml:space="preserve">◦ 데이터 처리 과정에서 원문의 의미·맥락이 유지되도록 하고 처리 결과를 점검·개선하여야 함</t>
  </si>
  <si>
    <t xml:space="preserve">DAR-002</t>
  </si>
  <si>
    <r>
      <rPr>
        <sz val="9"/>
        <rFont val="맑은 고딕"/>
        <family val="3"/>
        <charset val="129"/>
      </rPr>
      <t xml:space="preserve">RAG </t>
    </r>
    <r>
      <rPr>
        <sz val="9"/>
        <rFont val="WenQuanYi Zen Hei"/>
        <family val="2"/>
      </rPr>
      <t xml:space="preserve">지식데이터 구축 및 관리</t>
    </r>
  </si>
  <si>
    <t xml:space="preserve">◦ 기존 및 신규 RAG에 활용되는 데이터를 업무영역 및 데이터 특성에 적합한 지식데이터로 구성·관리하여야 함</t>
  </si>
  <si>
    <t xml:space="preserve">◦ 문서명, 문서번호, 작성일자, 출처, 문서유형 등 검색 및 출처 확인에 필요한 메타데이터를 데이터 특성에 따라 구성·관리하여야 함</t>
  </si>
  <si>
    <r>
      <rPr>
        <sz val="9"/>
        <rFont val="맑은 고딕"/>
        <family val="3"/>
        <charset val="129"/>
      </rPr>
      <t xml:space="preserve">◦ AI </t>
    </r>
    <r>
      <rPr>
        <sz val="9"/>
        <rFont val="WenQuanYi Zen Hei"/>
        <family val="2"/>
      </rPr>
      <t xml:space="preserve">답변의 근거가 되는 원문 및 출처정보를 확인할 수 있도록 지식데이터와 원천데이터 간 연계관계를 유지하여야 함</t>
    </r>
  </si>
  <si>
    <r>
      <rPr>
        <sz val="9"/>
        <rFont val="맑은 고딕"/>
        <family val="3"/>
        <charset val="129"/>
      </rPr>
      <t xml:space="preserve">◦ RAG</t>
    </r>
    <r>
      <rPr>
        <sz val="9"/>
        <rFont val="WenQuanYi Zen Hei"/>
        <family val="2"/>
      </rPr>
      <t xml:space="preserve">별 업무목적과 데이터 특성을 고려하여 지식데이터의 구성 및 관리방식을 적용하고 향후 신규 업무영역 및 데이터의 추가가 가능하도록 구성하여야 함</t>
    </r>
  </si>
  <si>
    <t xml:space="preserve">DAR-003</t>
  </si>
  <si>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활용 데이터 품질 및 현행화 관리</t>
    </r>
  </si>
  <si>
    <r>
      <rPr>
        <sz val="9"/>
        <rFont val="맑은 고딕"/>
        <family val="3"/>
        <charset val="129"/>
      </rPr>
      <t xml:space="preserve">◦ AI </t>
    </r>
    <r>
      <rPr>
        <sz val="9"/>
        <rFont val="WenQuanYi Zen Hei"/>
        <family val="2"/>
      </rPr>
      <t xml:space="preserve">서비스에 활용되는 데이터에 대하여 오류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누락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중복 등 품질 저하 요인을 점검하고 필요한 개선조치를 수행하여야 함</t>
    </r>
  </si>
  <si>
    <t xml:space="preserve">◦ 전자결재 등 지속적으로 생성·변경되는 업무데이터가 RAG 지식데이터에 안정적으로 반영될 수 있도록 현행화 체계를 구성·개선하여야 함</t>
  </si>
  <si>
    <t xml:space="preserve">◦ 데이터의 신규·변경·삭제 등 원천데이터의 변경사항이 발생하는 경우 지식데이터에 적절하게 반영될 수 있도록 관리하여야 함</t>
  </si>
  <si>
    <t xml:space="preserve">◦ 데이터 처리·색인 과정에서 발생하는 오류 및 미반영 내역 등을 확인하고 재처리할 수 있도록 관리방안을 마련하여야 함</t>
  </si>
  <si>
    <t xml:space="preserve">DAR-004</t>
  </si>
  <si>
    <t xml:space="preserve">남부발전 데이터 표준준수</t>
  </si>
  <si>
    <t xml:space="preserve">◦ 한국남부발전의 「데이터 품질관리세칙」을 준수하여야 함
   ※ 단, 본 사업의 데이터 구축·변경 등 해당 지침의 적용이 가능한 범위에 한함</t>
  </si>
  <si>
    <t xml:space="preserve">◦ 표준용어·도메인·코드·명명규칙은 한국남부발전 품질관리세칙 준수
   - 표준용어사전에 등재되지 않은 항목에 대해서는 표준관리시스템에 등록 후 업무를 수행해야 함</t>
  </si>
  <si>
    <t xml:space="preserve">◦ 데이터 모델링 및 표준 생성 작업 결과, 시스템 구성 관련 내용을 한국남부발전 표준관리시스템에 반영해야 함</t>
  </si>
  <si>
    <t xml:space="preserve">◦ 시스템 구축 완료 시, 데이터 표준 산출물을 제출</t>
  </si>
  <si>
    <t xml:space="preserve">테스트</t>
  </si>
  <si>
    <t xml:space="preserve">TER-001</t>
  </si>
  <si>
    <t xml:space="preserve">시험계획 수립 및 시행</t>
  </si>
  <si>
    <t xml:space="preserve">◦ 사업자는 구축 대상 및 개발 범위를 고려하여 시험항목, 시험방법, 시험환경, 수행일정, 판정기준 등을 포함한 시험계획을 수립하여야 함</t>
  </si>
  <si>
    <t xml:space="preserve">◦ 단위시험, 통합시험 등 구축 단계에 적합한 시험을 수행하고 시험계획에 따른 결과를 확인·관리하여야 함</t>
  </si>
  <si>
    <t xml:space="preserve">◦ 시험은 실제 운영환경 또는 이에 준하는 환경에서 수행하는 것을 원칙으로 하며 시험 결과 및 발견된 오류·결함을 기록·관리하여야 함</t>
  </si>
  <si>
    <t xml:space="preserve">◦ 시험 과정에서 발견된 오류 및 결함에 대하여 원인을 분석하고 보완조치 후 재시험을 수행하여 정상 여부를 확인하여야 함</t>
  </si>
  <si>
    <t xml:space="preserve">◦ 시험 결과는 발주자와 협의·확인하여야 하며 시험계획 및 수행결과를 관련 산출물로 제출하여야 함</t>
  </si>
  <si>
    <t xml:space="preserve">TER-002</t>
  </si>
  <si>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 기능 및 연계 시험</t>
    </r>
  </si>
  <si>
    <t xml:space="preserve">◦ 생성형 AI, RAG, 업무별 특화 AI 서비스 등 구축·고도화 대상에 대하여 실제 업무 활용 시나리오를 기반으로 주요 기능 및 업무처리 과정의 정상 동작 여부를 검증하여야 함</t>
  </si>
  <si>
    <r>
      <rPr>
        <sz val="9"/>
        <rFont val="맑은 고딕"/>
        <family val="3"/>
        <charset val="129"/>
      </rPr>
      <t xml:space="preserve">◦ AI Agent</t>
    </r>
    <r>
      <rPr>
        <sz val="9"/>
        <rFont val="WenQuanYi Zen Hei"/>
        <family val="2"/>
      </rPr>
      <t xml:space="preserve">가 </t>
    </r>
    <r>
      <rPr>
        <sz val="9"/>
        <rFont val="맑은 고딕"/>
        <family val="3"/>
        <charset val="129"/>
      </rPr>
      <t xml:space="preserve">MCP Gateway </t>
    </r>
    <r>
      <rPr>
        <sz val="9"/>
        <rFont val="WenQuanYi Zen Hei"/>
        <family val="2"/>
      </rPr>
      <t xml:space="preserve">및 </t>
    </r>
    <r>
      <rPr>
        <sz val="9"/>
        <rFont val="맑은 고딕"/>
        <family val="3"/>
        <charset val="129"/>
      </rPr>
      <t xml:space="preserve">Tool </t>
    </r>
    <r>
      <rPr>
        <sz val="9"/>
        <rFont val="WenQuanYi Zen Hei"/>
        <family val="2"/>
      </rPr>
      <t xml:space="preserve">등을 활용하여 업무를 수행하는 경우 사용자 요청에 따른 </t>
    </r>
    <r>
      <rPr>
        <sz val="9"/>
        <rFont val="맑은 고딕"/>
        <family val="3"/>
        <charset val="129"/>
      </rPr>
      <t xml:space="preserve">Tool </t>
    </r>
    <r>
      <rPr>
        <sz val="9"/>
        <rFont val="WenQuanYi Zen Hei"/>
        <family val="2"/>
      </rPr>
      <t xml:space="preserve">선택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호출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처리 및 결과 반환 과정의 정상 동작 여부를 검증하여야 함</t>
    </r>
  </si>
  <si>
    <t xml:space="preserve">◦ 내부 시스템 및 외부 API·서비스와 연계되는 AI 서비스에 대하여 연계정보의 조회·수신 및 AI 서비스 활용 과정이 업무 시나리오에 따라 정상적으로 수행되는지 검증하여야 함</t>
  </si>
  <si>
    <r>
      <rPr>
        <sz val="9"/>
        <rFont val="맑은 고딕"/>
        <family val="3"/>
        <charset val="129"/>
      </rPr>
      <t xml:space="preserve">◦ NPU </t>
    </r>
    <r>
      <rPr>
        <sz val="9"/>
        <rFont val="WenQuanYi Zen Hei"/>
        <family val="2"/>
      </rPr>
      <t xml:space="preserve">기반 </t>
    </r>
    <r>
      <rPr>
        <sz val="9"/>
        <rFont val="맑은 고딕"/>
        <family val="3"/>
        <charset val="129"/>
      </rPr>
      <t xml:space="preserve">STT·TTS </t>
    </r>
    <r>
      <rPr>
        <sz val="9"/>
        <rFont val="WenQuanYi Zen Hei"/>
        <family val="2"/>
      </rPr>
      <t xml:space="preserve">등 음성 </t>
    </r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서비스에 대하여 모델의 구동 및 </t>
    </r>
    <r>
      <rPr>
        <sz val="9"/>
        <rFont val="맑은 고딕"/>
        <family val="3"/>
        <charset val="129"/>
      </rPr>
      <t xml:space="preserve">KEMI</t>
    </r>
    <r>
      <rPr>
        <sz val="9"/>
        <rFont val="WenQuanYi Zen Hei"/>
        <family val="2"/>
      </rPr>
      <t xml:space="preserve">와 연계한 음성 입력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인식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처리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출력의 전체 서비스 동작을 검증하여야 함</t>
    </r>
  </si>
  <si>
    <r>
      <rPr>
        <sz val="9"/>
        <rFont val="맑은 고딕"/>
        <family val="3"/>
        <charset val="129"/>
      </rPr>
      <t xml:space="preserve">◦ AI Agent </t>
    </r>
    <r>
      <rPr>
        <sz val="9"/>
        <rFont val="WenQuanYi Zen Hei"/>
        <family val="2"/>
      </rPr>
      <t xml:space="preserve">및 연계 서비스에 대하여 사용자 권한 및 접근범위에 따른 조회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실행 통제가 정상적으로 적용되는지 검증하여야 함</t>
    </r>
  </si>
  <si>
    <t xml:space="preserve">프로젝트관리</t>
  </si>
  <si>
    <t xml:space="preserve">PMR-001</t>
  </si>
  <si>
    <t xml:space="preserve">사업수행조직 구성</t>
  </si>
  <si>
    <t xml:space="preserve">◦ 본 사업을 효과적으로 수행하기 위한 추진조직 및 지원조직 구성계획을 명확하게 제시하여야 함</t>
  </si>
  <si>
    <t xml:space="preserve">◦ 사업관리자(PM)는 반드시 주사업자 소속으로 일정 수준 이상 직급의 직원으로서 본 사업을 총괄할 수 있는 경험이 있는 전문 인력이어야 하며, 사업기간 동안 상주가 가능하여야 함</t>
  </si>
  <si>
    <t xml:space="preserve">◦ 인력교체 필요 시 인력교체 전에 대체인력을 투입하여야 하며, 인력교체기간 동안 발생하는 업무의 안정화 및 품질저하 방지 대책을 제시하여야 함</t>
  </si>
  <si>
    <t xml:space="preserve">◦ 사업 수행조직 외 본 사업을 성공적으로 수행할 수 있도록 지원 또는 자문 조직의 구성을 제시할 수 있음</t>
  </si>
  <si>
    <t xml:space="preserve">PMR-002</t>
  </si>
  <si>
    <t xml:space="preserve">사업관리 방안</t>
  </si>
  <si>
    <t xml:space="preserve">◦ 위험⋅품질⋅일정⋅자원⋅형상 관리 등 사업관리 방법론을 통한 체계적인 사업관리 방안 제시함</t>
  </si>
  <si>
    <t xml:space="preserve">◦ 단계별 추진일정 및 세부 활동 내용 등이 포함된 일정계획(WBS)을 제시하여야 함</t>
  </si>
  <si>
    <t xml:space="preserve">◦ 기능/비기능 요구사항을 관리하고, 각각의 요구사항이 사업 전 단계의 관련 산출물에 반영 여부를 확인할 수 있도록 관리</t>
  </si>
  <si>
    <t xml:space="preserve">◦ 본 사업의 수행 시 발생 예상되는 쟁점 및 미결사항에 대한 관리, 사용자 요구사항 상세화 과정에서의 리스크관리 등 각종 위험에 대한 통제 방안을 제시
   - 지속적으로 문제를 파악 관리하고, 조치사항에 대하여 추적관리</t>
  </si>
  <si>
    <t xml:space="preserve">◦ 사업자는 한국남부발전이 제시한 관련 보안규정 등의 위반 시 일체의 책임 (유무형의 배상 등 포함)을 짐</t>
  </si>
  <si>
    <t xml:space="preserve">◦ 사업 기간 중 발생, 변화하는 기술과 수요의 변화에 따라 사업내용의 일부가 변경⋅추가되는 경우 별도의 비용을 청구하지 않고 이에 맞춰 사업을 추진해야 함</t>
  </si>
  <si>
    <t xml:space="preserve">◦ 사업기간 동안 내/외부 관계자를 참석시켜 착수보고회, 중간보고회 (발주사 요청시), 최종보고회 실시하고, 그 결과를 반영하여 사업을 진행함</t>
  </si>
  <si>
    <t xml:space="preserve">PMR-003</t>
  </si>
  <si>
    <t xml:space="preserve">사업일정 관리</t>
  </si>
  <si>
    <t xml:space="preserve">◦ 추진일정을 참고하여 작업 수행공정 간 상호연계가 될 수 있도록 일정계획이 제시되어야 하며 가급적 상세하게 기술하여야 함</t>
  </si>
  <si>
    <t xml:space="preserve">◦ 사업수행에 필요한 활동의 도출, 각 활동의 합리적 배열과 기간산정, 자원할당의 적절성을 고려하여 상세일정을 수립하여야 함</t>
  </si>
  <si>
    <t xml:space="preserve">◦ 업무 진척도를 관리할 조직, 방법, 절차 등을 제시하여야 함</t>
  </si>
  <si>
    <t xml:space="preserve">◦ 업무 진척도가 계획과 상이할 경우를 대비한 대응방안을 포함</t>
  </si>
  <si>
    <t xml:space="preserve">◦ 본 사업을 수행할 제안사의 추진조직은 프로젝트 일정조정에 대하여 발주자 요구가 있을 경우 구축기간 내에서의 과업수행 절차를 변경가능 함</t>
  </si>
  <si>
    <t xml:space="preserve">PMR-004</t>
  </si>
  <si>
    <r>
      <rPr>
        <sz val="9"/>
        <rFont val="맑은 고딕"/>
        <family val="3"/>
        <charset val="129"/>
      </rPr>
      <t xml:space="preserve">EA </t>
    </r>
    <r>
      <rPr>
        <sz val="9"/>
        <rFont val="WenQuanYi Zen Hei"/>
        <family val="2"/>
      </rPr>
      <t xml:space="preserve">현행화 관리</t>
    </r>
  </si>
  <si>
    <t xml:space="preserve">◦ 본 사업과 관련되어 수정변경이 발생하는 정보기술아키텍처의 진화관리 및 현행화 작업을 수행</t>
  </si>
  <si>
    <t xml:space="preserve">◦ 사업종료 전 발주사에서 제시한 서식에 의거 변경이 발생한 부분에 대한 결과물을 현행화</t>
  </si>
  <si>
    <t xml:space="preserve">PMR-005</t>
  </si>
  <si>
    <t xml:space="preserve">보고관리</t>
  </si>
  <si>
    <t xml:space="preserve">◦ 원활한 사업추진을 위해 보고회를 개최하여야 하며, 보고 시 도출된 문제점은 즉시 수정 보완하여야 한다.
  │ 구 분 │ 보고명 │ 보고내용 │ 시 기
  │ 정기보고 │ 주간보고 │ - 진도관리(계획대비 실적) / - 문제점 보고 및 특이사항 / - 진척률 및 차주계획 │ 매주 (협의결정)
  │ 비정기보고 │ 착수보고 │ - 사업 추진전략 및 세부 진행계획 보고 / - 업무분장 및 협조사항 요청 │ 협의
  │  │ 중간보고 │ - 개발상황 및 현안 보고 │ 
  │  │ 완료보고 │ - 개발결과 보고 │ 
  │  │ 수시보고 │ - 이슈사항 및 문제점 협의 등 │ </t>
  </si>
  <si>
    <t xml:space="preserve">PMR-006</t>
  </si>
  <si>
    <t xml:space="preserve">◦ 각 산출물은 해당 단계에 따라 제출하여야 함
  │ 구 분 │ 시 기 │ 수 량
  │ 착수계, 착수보고서 │ 계약 후 10일 이내 │ 1부
  │ 사업수행 계획서 │ 계약 후 10일 이내 │ 1부
  │ 보안서약서(대표, 투입인력) │ 계약 후 10일 이내 │ 대상자별 1부
  │ 개인정보 수집·이용 동의서 │ 계약 후 10일 이내 │ 각1부
  │ 요구사항 정의/분석서 │ 별도협의 │ 1부
  │ 시스템 구성도 및 AI 서비스 아키텍처 │ 설계 완료 후 │ 1부
  │ 시스템·API 연계 설계서 │ 설계 완료 후 │ 1부
  │ 업무별 특화 AI Agent 설계서 │ 설계 완료 후 │ 1부
  │ MCP Gateway 및 Tool 연계 명세서 │ 설계 완료 후 │ 1부
  │ RAG 지식데이터 구축·처리 내역서 │ 구축 완료 후 │ 1부
  │ 테스트 계획서 │ 테스트 전 │ 1부
  │ 테스트 결과서 │ 테스트 완료 후 │ 1부
  │ AI 서비스 성능·품질 검증 결과서 │ 테스트 완료 후 │ 1부
  │ NPU 기반 음성 AI 성능검증·실증 결과서 │ 테스트 완료 후 │ 1부
  │ 취약점 조치결과 보고서 │ 조치 완료 후 │ 1부
  │ 작업진척 보고서 │ 주간 또는 수시 │ -
  │ 회의록·업무협의서 │ 발생 시 │ -
  │ 완료(최종)보고서 │ 최종 완료 시 │ 1부
  │ 관리자 지침서(설치, 운영 등) 및 교육교재(매뉴얼) │ 최종 완료 시 │ 1부
   ※ 기타 표기되지 않은 산출물은 제안요청 또는 계약상대자 제안서 내용을 근거로 제출하여야 한다. (별도 협의)
   ※ 산출물의 세부 구성과 제출시기는 사업수행 과정에서 발주기관과 협의하여 조정할 수 있으며 사업수행에 따른 변경사항을 반영하여 시스템 구성도, AI 서비스 아키텍처, 시스템 간 연계구성 등 주요 기술문서를 최종 현행호하여 제출하여야 함</t>
  </si>
  <si>
    <t xml:space="preserve">PMR-007</t>
  </si>
  <si>
    <t xml:space="preserve">프로젝트 수행 일반</t>
  </si>
  <si>
    <t xml:space="preserve">◦ 계약상대자는 제품 납품 시 원소유자의 저작권을 침해하지 아니하는 제품을 납품하여야 하고 제반 S/W 설치⋅운용⋅관리 등 필요한 매뉴얼을 2부 이상 제출하여야 함.</t>
  </si>
  <si>
    <t xml:space="preserve">◦ 모든 매뉴얼은 한글 매뉴얼을 기준으로 납품하여야 한다.</t>
  </si>
  <si>
    <t xml:space="preserve">◦ 본 사업의 목적 달성을 위해 필요한 소프트웨어 및 물자의 조달은 사업수행자의 부담으로 함</t>
  </si>
  <si>
    <t xml:space="preserve">PMR-008</t>
  </si>
  <si>
    <r>
      <rPr>
        <sz val="9"/>
        <rFont val="맑은 고딕"/>
        <family val="3"/>
        <charset val="129"/>
      </rPr>
      <t xml:space="preserve">SW </t>
    </r>
    <r>
      <rPr>
        <sz val="9"/>
        <rFont val="WenQuanYi Zen Hei"/>
        <family val="2"/>
      </rPr>
      <t xml:space="preserve">사업정보 저장소 데이터 작성 및 제출</t>
    </r>
  </si>
  <si>
    <t xml:space="preserve">◦ 「소프트웨어진흥법 제58조」에 따라 해당 사업수행자는 SW 사업정보(SW사업 수행 및 실적 정보) 데이터를 작성하여 제출하여야 함</t>
  </si>
  <si>
    <r>
      <rPr>
        <sz val="9"/>
        <rFont val="맑은 고딕"/>
        <family val="3"/>
        <charset val="129"/>
      </rPr>
      <t xml:space="preserve">◦ SW</t>
    </r>
    <r>
      <rPr>
        <sz val="9"/>
        <rFont val="WenQuanYi Zen Hei"/>
        <family val="2"/>
      </rPr>
      <t xml:space="preserve">사업정보 데이터 작성 및 제출에 관한 사항은 </t>
    </r>
    <r>
      <rPr>
        <sz val="9"/>
        <rFont val="맑은 고딕"/>
        <family val="3"/>
        <charset val="129"/>
      </rPr>
      <t xml:space="preserve">www.spir.kr </t>
    </r>
    <r>
      <rPr>
        <sz val="9"/>
        <rFont val="WenQuanYi Zen Hei"/>
        <family val="2"/>
      </rPr>
      <t xml:space="preserve">자료실의 ‘</t>
    </r>
    <r>
      <rPr>
        <sz val="9"/>
        <rFont val="맑은 고딕"/>
        <family val="3"/>
        <charset val="129"/>
      </rPr>
      <t xml:space="preserve">SW</t>
    </r>
    <r>
      <rPr>
        <sz val="9"/>
        <rFont val="WenQuanYi Zen Hei"/>
        <family val="2"/>
      </rPr>
      <t xml:space="preserve">사업정보 저장소 데이터 제출 안내’ 문서를 참조</t>
    </r>
  </si>
  <si>
    <r>
      <rPr>
        <sz val="9"/>
        <rFont val="맑은 고딕"/>
        <family val="3"/>
        <charset val="129"/>
      </rPr>
      <t xml:space="preserve">◦ SW</t>
    </r>
    <r>
      <rPr>
        <sz val="9"/>
        <rFont val="WenQuanYi Zen Hei"/>
        <family val="2"/>
      </rPr>
      <t xml:space="preserve">사업정보 데이터는 사업수행계획서 작성 시 단계별 산출물 리스트에 반드시 명시하여야 함</t>
    </r>
  </si>
  <si>
    <r>
      <rPr>
        <sz val="9"/>
        <rFont val="맑은 고딕"/>
        <family val="3"/>
        <charset val="129"/>
      </rPr>
      <t xml:space="preserve">◦ SW</t>
    </r>
    <r>
      <rPr>
        <sz val="9"/>
        <rFont val="WenQuanYi Zen Hei"/>
        <family val="2"/>
      </rPr>
      <t xml:space="preserve">사업정보 중 기능점수 데이터의 작성을 위해 사업수행 인원 중 기능점수 측정 전문가를 포함토록 함</t>
    </r>
  </si>
  <si>
    <t xml:space="preserve">PMR-009</t>
  </si>
  <si>
    <t xml:space="preserve">인적보안 관리</t>
  </si>
  <si>
    <t xml:space="preserve">◦ 사업자는 보안관리 책임자를 임명하여 발주기관이 요구하는 보안점검 업무를 수행하여야 함</t>
  </si>
  <si>
    <t xml:space="preserve">◦ 용역사업 참여인원에 대해서는 “정보누출” 금지조항 및 개인의 친필서명이 들어간 보안서약서(별도 양식)를 제출</t>
  </si>
  <si>
    <t xml:space="preserve">◦ 용역사업 수행 전 참여인원에 대해 법적 또는 사내규정에 의한 비밀유지, 의무준수 및 위반 시 처벌내용 등에 대한 보안교육을 실시하되, 용역사업 수행 중에도 해당 내용에 대한 보안교육을 월 1회 이상 지속 실시
   - “누출금지 대상정보” 및 정보 누출 시 “부정당업자 제재조치”등에 대한 교육 병행</t>
  </si>
  <si>
    <t xml:space="preserve">PMR-010</t>
  </si>
  <si>
    <t xml:space="preserve">자료보안 관리</t>
  </si>
  <si>
    <t xml:space="preserve">◦ 사업자는 발주기관으로부터 대여·제공받은 제반 자료는 본 사업의 목적 외에는 사용할 수 없음</t>
  </si>
  <si>
    <t xml:space="preserve">◦ 계약서 등에 명시한 “누출금지 대상정보”를 업체에 제공할 경우 “제공자료 관리대장”을 작성하여 인계자·인수자가 직접 서명한 후 제공하고 사업완료 시 관련자료 전량회수</t>
  </si>
  <si>
    <t xml:space="preserve">◦ 용역사업 관련자료 및 사업과정에서 생산된 모든 산출물은 사내의 파일서버에 저장하거나 보안담당자가 지정한 PC에 저장·관리</t>
  </si>
  <si>
    <t xml:space="preserve">◦ 용역사업 관련 자료는 인터넷 웹하드·P2P 등 인터넷 자료공유 사이트 및 개인 메일함에 저장을 금지하고 용역 발주부서와 용역업체 간 전자우편을 이용한 자료전송이 필요한 경우에는 상용 메일이 아닌 자체 전자우편 이용, 첨부자료 암호화 후 수발신 함
   ※ 단, 대외비 이상의 비밀은 전자우편을 이용 금지</t>
  </si>
  <si>
    <t xml:space="preserve">◦ 발주부서에서 제공한 사무실에서 용역사업을 수행할 경우 제공한 비공개 자료는 매일 퇴근 시 반납하며 비밀문서를 제외한 일반 문서는 용역업체에 제공된 사무실에 시건장치가 된 보관함이 있을 경우에 보관가능</t>
  </si>
  <si>
    <t xml:space="preserve">◦ 용역사업 수행으로 생산되는 산출물 및 기록은 발주기관의 보안담당자가 인가하지 않은 비인가자에게 제공·대여·열람 금지</t>
  </si>
  <si>
    <t xml:space="preserve">PMR-011</t>
  </si>
  <si>
    <t xml:space="preserve">사무실, 장비 보안 관리</t>
  </si>
  <si>
    <t xml:space="preserve">◦ 용역사업 수행장소는 사내의 시건장치와 통제가 가능한 공간을 제공하거나 CCTVㆍ시건장치 등 비인가자 출입통제 대책이 마련된 외부 사무실을 사용</t>
  </si>
  <si>
    <t xml:space="preserve">◦ 사내에서 용역사업을 수행할 경우 용역 참여직원이 노트북 등 관련 장비를 외부에 반출ㆍ입시마다 악성코드 감염여부 및 자료 무단 반출 여부 확인</t>
  </si>
  <si>
    <t xml:space="preserve">◦ 인가받지 않은 USB 메모리 등의 휴대용 저장매체 사용을 금지하며 산출물 저장을 위해 휴대용 저장매체가 필요한 경우 발주부서 승인하에 사용</t>
  </si>
  <si>
    <t xml:space="preserve">PMR-012</t>
  </si>
  <si>
    <t xml:space="preserve">누출금지 대상정보</t>
  </si>
  <si>
    <t xml:space="preserve">◦ 누출금지 대상정보 누출 적발 시「국가계약법」시행령 제76조에 의거, 지체없이 부정당업자 제재조치를 실시하고 관련사항은 발주기관 보안담당자를 통해 산업통상자원부 및 국가정보원에 통보</t>
  </si>
  <si>
    <t xml:space="preserve">◦ 누출금지 대상정보
   - 사내 정보통신시스템의 내·외부 IP주소 현황
   - 세부 정보통신시스템 구성 현황 및 정보통신망 구성도
   - 사용자 계정·비밀번호 등 정보통신시스템 접근권한 정보
   - 정보통신시스템 및 정보통신망 취약점 분석·평가 결과물
   - 정보화 용역사업 결과물 및 관련 프로그램 소스코드 (유출 시 안보·국익에 피해가 우려되는 중요 용역사업에 해당)
   - 국가용 보안시스템 및 정보보호시스템 도입 현황
   - 침입차단시스템·방지시스템(IPS) 등 정보보호제품 및 라우터·스위치 등 네트워크 장비 설정 정보
   - 「공공기관의 정보공개에 관한 법률」제9조 제1항에 따라 비공개 대상 정보로 분류된 사내 내부문서
   - 「공공기관의 개인정보보호에 관한 법률」제2조 제2호의 개인정보
   - 「보안업무규정」제4조의 비밀 및 동 시행규칙 제7조 제3항의 대외비
   - 그 밖에 공개가 불가하다고 판단한 자료</t>
  </si>
  <si>
    <t xml:space="preserve">PMR-013</t>
  </si>
  <si>
    <t xml:space="preserve">사업자 보안관리 준수사항</t>
  </si>
  <si>
    <t xml:space="preserve">◦ 사업 착수 시
   - 사업 참여인원에 대해서는 사업투입 전 “대표자용 보안서약서”, “개발참여자용 보안서약서”를 제출하여야 함
   - 계약업체는 사업 수행 전 참여인원에 대해 보안관리 의무사항 및 위반 시 처벌내용 등에 대한 보안교육을 실시하여야 함
   - 계약업체는 소프트웨어 개발보안 교육을 실시하고 이후 투입되는 인력은 투입 전 교육을 추가로 실시하여야 함(교육명단 제출)</t>
  </si>
  <si>
    <t xml:space="preserve">◦ 사업 수행 시
   - 계약업체는 보안인식 강화를 위해 주기적으로 자체 보안교육을 실시해야 하며 발주기관이 요구하는 보안교육에 참석하여야 함
   - 인력교체로 인한 퇴실자 및 신규자는 보안서약서 징구 및 보안교육을 실시하여 그 결과를 제출하여야 함</t>
  </si>
  <si>
    <t xml:space="preserve">◦ 사업 종료 시
   - 계약업체는 발주기관으로부터 제공받는 장비, 서류 및 중간⋅최종 산출물 등 모든 자료를 전량 반납하고 삭제하여야 함</t>
  </si>
  <si>
    <t xml:space="preserve">◦ 본 사업의 보안관련 사항은 외주 용역사업 보안특약 조항 및 「국가 정보보안 기본지침」, 「정보보안업무 규정」을 준수</t>
  </si>
  <si>
    <t xml:space="preserve">◦ 행정기관 및 공공기관 정보시스템 구축·운영지침(행정안전부 고시) 제41조, 용역착수일반조건(기획재정부 계약예규) 제52조 등에 따라 SW사업 수행을 위한 작업장소는 발주기간과 상호 협의하여 정함</t>
  </si>
  <si>
    <t xml:space="preserve">◦ 누출금지 대상정보 누출 시 국가를 당사자로 하는 계약에 관한 법률 시행령 제76조에 따라 부정당업자 등록 및 입찰참가자격 제한</t>
  </si>
  <si>
    <t xml:space="preserve">◦ 본 사업과 관련하여 취득한 모든 정보를 외부에 누설하여서는 안되며, 사업기간 중 또는 종료 후 제3자에게 누설되지 않도록 보안대책 강구</t>
  </si>
  <si>
    <t xml:space="preserve">◦ 사업완료 후 생산되는 최종 산출물 중 대외보안이 요구되는 자료는 대외비 이상으로 작성·관리하고 불필요한 자료는 삭제 및 폐기</t>
  </si>
  <si>
    <t xml:space="preserve">◦ 용역업체에 제공한 자료, 장비, 서류와 중간·최종 산출물 등 용역과 관련된 제반자료는 전량회수하고 업체에 복사본 등 별도 보관금지</t>
  </si>
  <si>
    <t xml:space="preserve">◦ 사업완료 후 업체소유 PC·서버의 하드디스크·휴대용 저장매체 등 전자기록 저장매체는 국가정보원장이 안전성을 검증한 삭제 S/W로 완전 삭제 후 반출
   * 「정보통신시스템 저장매체 불용처리지침」참조</t>
  </si>
  <si>
    <t xml:space="preserve">◦ 용역사업 관련 자료 회수 및 삭제 조치 후 업체에게 복사본 등 용역 사업관련 자료를 보유하고 있지 않다는 대표 명의 보안확약서 징구</t>
  </si>
  <si>
    <t xml:space="preserve">◦ 사업자는 정보유출(개인정보 포함)로 인한 문제발생 등 보안관련 사고에 대하여 민·형사상 모든 책임을 짐</t>
  </si>
  <si>
    <t xml:space="preserve">프로젝트지원</t>
  </si>
  <si>
    <t xml:space="preserve">PSR-001</t>
  </si>
  <si>
    <t xml:space="preserve">기술이전</t>
  </si>
  <si>
    <t xml:space="preserve">◦ 프로젝트 수행과정과 관련된 필요한 기술이전 대상에 대한 목록과 기술이전 방법을 제시하여야 함(교육, 매뉴얼, 기술자료 제공 등)
   - 시스템 운영, 비상복구 방법, 장애 대처방법 및 기타 운영에 관한 사항 등 시스템 운영자의 자체 유지보수 능력 배양 내용 포함
   - 계약상대자가 구축한 시스템에 대하여 발주자가 기능보완을 하고자 할 경우 필요한 제반 기술사항을 지원하여야 함
   - 발주자가 본 시스템을 확장하거나 타 장비를 접속하고자 하는 경우 계약상대자는 인터페이스가 가능하도록 관련 기술을 지원하여야 함</t>
  </si>
  <si>
    <t xml:space="preserve">◦ 제안사는 관련 분야의 정보기술에 대한 정보제공 및 기술자문에 응해야 함</t>
  </si>
  <si>
    <t xml:space="preserve">◦ 발주자의 요청 시 해당 시스템에 대한 사양과 운영에 관한 기술을 지원하여야 함</t>
  </si>
  <si>
    <t xml:space="preserve">◦ 계약상대자는 시스템 개발 중이거나 개발 이후에도 관련 분야의 최신 정보기술에 대한 지속적인 정보제공 여부에 관한 내용을 제시하여야 함</t>
  </si>
  <si>
    <t xml:space="preserve">◦ 사용자 매뉴얼 작성 시 사용자들이 솔루션을 통해 사용할 수 있는 기능을 포함하여 제작/배포되어야 함</t>
  </si>
  <si>
    <t xml:space="preserve">PSR-002</t>
  </si>
  <si>
    <t xml:space="preserve">교육훈련</t>
  </si>
  <si>
    <t xml:space="preserve">◦ 관리자, 사용자 교육 등에 대한 교육계획 및 일정을 구체적으로 제시하여야 함
   - 교육은 시스템 구축 후 운용 및 기본적인 유지관리를 위한 상세내용 포함 (시스템 유지관리 및 개발 기술 관련 교육 등)
   - 기타 시스템 구축 및 운영상 필요하다고 판단되어 발주기관에서 추가 교육 요청 시 응해야 함</t>
  </si>
  <si>
    <t xml:space="preserve">◦ 관리자, 운영자별로 도입제품에 대한 기본교육부터 운영교육까지 실시하고 실습위주의 교육내용, 인원, 일정, 장소, 교육조건 등 교육지원과 실무적인 기술이전 계획을 상세히 제시해야 한다.
   - 교육대상 범위는 발주사와 협의하여 정함</t>
  </si>
  <si>
    <t xml:space="preserve">PSR-003</t>
  </si>
  <si>
    <t xml:space="preserve">장애복구 및 대응방안</t>
  </si>
  <si>
    <t xml:space="preserve">◦ 발생 가능한 장애요소들을 유형별로 구분하여 제시 및 유형별 대응 방안을 문서화하여 결과 산출물로 제시하여야 한다.</t>
  </si>
  <si>
    <t xml:space="preserve">◦ 시스템 연속성 보장 및 장애발생 대응 계획서 제출</t>
  </si>
  <si>
    <t xml:space="preserve">PSR-004</t>
  </si>
  <si>
    <t xml:space="preserve">하자보수</t>
  </si>
  <si>
    <t xml:space="preserve">◦ 사업자가 제3자로부터 구매하여 공급한 제품을 포함한 전 시스템의 무상 하자보수기간은 검사완료일로부터 12개월로 함</t>
  </si>
  <si>
    <t xml:space="preserve">◦ 무상 하자보수 지원방안에 지원범위, 지원방법(상주, 비상주 등) 등을 포함하여 제시</t>
  </si>
  <si>
    <t xml:space="preserve">◦ 시스템의 결함 및 S/W 개발, 설치 등의 하자가 발견될 경우 즉시 필요한 조치를 취하여 문제를 해결하여야 함
   - 하자보수 기간 중 치명적인 하자 및 오류로 인하여 시스템 사용이 불가 시 즉시 개발인력을 투입하여 지원하도록 함</t>
  </si>
  <si>
    <t xml:space="preserve">◦ 고장수리, 성능개선 지원 및 긴급지원관리 서비스</t>
  </si>
  <si>
    <t xml:space="preserve">◦ 고객지원 엔지니어의 방문지원(요청 시)</t>
  </si>
  <si>
    <t xml:space="preserve">◦ 공급되는 솔루션의 제작사 지원 중단 시는 최소 3개월 전에 서면으로 통보하고 업그레이드 등 지속운용 대책 등을 강구하여야 함</t>
  </si>
  <si>
    <t xml:space="preserve">◦ 모든 납품 제품은 제조사 공급확약서 및 기술지원 확약서를 계약 후 10일 이내 제출하여야 한다.</t>
  </si>
  <si>
    <t xml:space="preserve">◦ 시범운영 및 안정화 기간에 대한 구체적인 계획 제시</t>
  </si>
  <si>
    <t xml:space="preserve">제약</t>
  </si>
  <si>
    <t xml:space="preserve">COR-001</t>
  </si>
  <si>
    <t xml:space="preserve">일반사항</t>
  </si>
  <si>
    <t xml:space="preserve">◦ 기존시스템 운영에 영향을 주지 않아야 하며 기존시스템과 완벽하게 호환되어 정상 동작 수행 (SSO 연동 포함)</t>
  </si>
  <si>
    <t xml:space="preserve">◦ 사업 중 규정 변경에 따른 연동 대상 시스템 프로세스 변경을 반영</t>
  </si>
  <si>
    <t xml:space="preserve">◦ 사업 중 발주자의 ICT 인프라 환경이 변경되는 경우 이를 반영</t>
  </si>
  <si>
    <t xml:space="preserve">◦ 사업 중 발주자의 계획에 따라 생성형 AI를 활용하는 서비스를 개발 시 이와 연동되도록 반영</t>
  </si>
  <si>
    <t xml:space="preserve">◦ 사업 중 다음을 포함한 의사결정 필요사항은 사전에 발주자와 협의
   - 업무시스템에 대한 제반 기술 및 도구 선정
   - 화면처리 흐름, 코드분류 등 향후 운영과 유지관리에 영향을 주는 사항</t>
  </si>
  <si>
    <t xml:space="preserve">◦ 문구의 해석에 대해서는 발주사에 확인이 필요함</t>
  </si>
  <si>
    <t xml:space="preserve">◦ 감리 시 감리에서의 요구 조건을 최대한 수용해야 함</t>
  </si>
  <si>
    <t xml:space="preserve">COR-002</t>
  </si>
  <si>
    <t xml:space="preserve">업무환경 지원</t>
  </si>
  <si>
    <t xml:space="preserve">◦ 시스템은 물리PC⋅가상화PC⋅물리서버⋅가상화 서버 등 운영환경에 제약없이 정상적 운영이 가능해야 함</t>
  </si>
  <si>
    <t xml:space="preserve">◦ 시스템은 크롬, Edge, IE11 이상 등 브라우저와 무관하게 요구기능이 정확하게 동작하여야 함</t>
  </si>
  <si>
    <r>
      <rPr>
        <sz val="9"/>
        <rFont val="맑은 고딕"/>
        <family val="3"/>
        <charset val="129"/>
      </rPr>
      <t xml:space="preserve">◦ PC</t>
    </r>
    <r>
      <rPr>
        <sz val="9"/>
        <rFont val="WenQuanYi Zen Hei"/>
        <family val="2"/>
      </rPr>
      <t xml:space="preserve">에 설치된 타 </t>
    </r>
    <r>
      <rPr>
        <sz val="9"/>
        <rFont val="맑은 고딕"/>
        <family val="3"/>
        <charset val="129"/>
      </rPr>
      <t xml:space="preserve">S/W</t>
    </r>
    <r>
      <rPr>
        <sz val="9"/>
        <rFont val="WenQuanYi Zen Hei"/>
        <family val="2"/>
      </rPr>
      <t xml:space="preserve">와 호환 운영되어야 함
   </t>
    </r>
    <r>
      <rPr>
        <sz val="9"/>
        <rFont val="맑은 고딕"/>
        <family val="3"/>
        <charset val="129"/>
      </rPr>
      <t xml:space="preserve">- DRM, </t>
    </r>
    <r>
      <rPr>
        <sz val="9"/>
        <rFont val="WenQuanYi Zen Hei"/>
        <family val="2"/>
      </rPr>
      <t xml:space="preserve">백신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내</t>
    </r>
    <r>
      <rPr>
        <sz val="9"/>
        <rFont val="맑은 고딕"/>
        <family val="3"/>
        <charset val="129"/>
      </rPr>
      <t xml:space="preserve">PC</t>
    </r>
    <r>
      <rPr>
        <sz val="9"/>
        <rFont val="WenQuanYi Zen Hei"/>
        <family val="2"/>
      </rPr>
      <t xml:space="preserve">지키미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망간자료 등</t>
    </r>
  </si>
  <si>
    <t xml:space="preserve">COR-003</t>
  </si>
  <si>
    <t xml:space="preserve">보안지침 준수</t>
  </si>
  <si>
    <t xml:space="preserve">◦ 웹사이트 관련 보안 및 표준분야의 법령, 규정 및 지침을 준수
   - 행정기관 및 공공기관 정보시스템 구축, 운영지침(행정안전부)
   - 전자정부서비스 호환성 준수지침(행정안전부)</t>
  </si>
  <si>
    <t xml:space="preserve">◦ 그 밖에 명시되지 않은 관련 법규 및 가이드라인은 본 사업을 수행함에 있어 표준을 준수하여야 하며, 사업 기간 내에 추가적으로 발표되는 지침⋅가이드라인에 대해서는 사업 및 제안사항에 없어도 추가 개발 및 적용하여야 함</t>
  </si>
  <si>
    <t xml:space="preserve">COR-004</t>
  </si>
  <si>
    <t xml:space="preserve">저작권 및 지식재산권 보호</t>
  </si>
  <si>
    <t xml:space="preserve">◦ 모든 산출물의 저작권에 대한 권리는 발주기관과 사업자가 공동 소유함을 원칙으로 함. 다만 개발의 기여도 및 계약목적물의 특수성(국가안전보장, 외교관계, 보안 및 정보보호 등)을 고려하여 저작권의 귀속 주체 등에 대해 공동소유와 달리 정할 수 있음</t>
  </si>
  <si>
    <t xml:space="preserve">◦ 본 사업에서 사용된 자료 및 제작 콘텐츠 원본은 전량 발주기관에 제공</t>
  </si>
  <si>
    <t xml:space="preserve">◦ 사업수행자는 지식재산권의 활용을 위하여 SW산출물의 반출을 요청할 수 있으며, 발주기관에서는 「보안업무규정」제4조 및 제안요청서에 명시된 누출금지정보에 해당하지 않을 경우 SW산출물을 제공함. 다만 SW산출물의 활용 절차와 공급자가 SW산출물 활용 절차를 지키지 않는 경우 입찰참가자격 제한 등에 관하여는 「소프트웨어사업 계약 및 관리 감독에 관한 지침」(과학기술정보통신부고시)제32조(산출물의 활용)에 따름</t>
  </si>
  <si>
    <t xml:space="preserve">◦ 모든 산출물은 지적재산권과 관련된 사항을 주의해서 작성해야 하며, 본 사업과 관련하여 제3자의 특허권 또는 지적재산권을 침해하여 문제 발생 시 사업자가 모든 책임을 짐</t>
  </si>
  <si>
    <t xml:space="preserve">◦ 동 시스템 구축 시 사용되는 모든 디자인 및 콘텐츠는 저작권법에 위배되지 않아야 함. 저작권 침해 분쟁 발생 시 손해배상뿐 아니라 민·형사상 책임 등 일체의 책임은 사업자에게 있으며, 사업자 의지로 소요되는 모든 비용을 부담하여 조속히 분쟁을 해결함</t>
  </si>
  <si>
    <t xml:space="preserve">◦ 공개 S/W의 사용은 허용되나 사용 시 사용목록을 제출하여야 하며, S/W의 유지관리 및 라이선스에 문제가 있을 경우 사업자가 책임 짐.</t>
  </si>
  <si>
    <t xml:space="preserve">COR-005</t>
  </si>
  <si>
    <t xml:space="preserve">하도급 관리 강화</t>
  </si>
  <si>
    <t xml:space="preserve">◦ 본 사업의 하도급의 경우 「소프트웨어 진흥법」 제51조제5항, 같은 법 시행규칙 제14조 제1항 및 「소프트웨어사업 계약 및 관리 감독에 관한 지침」의 규정에 의하여 반드시 발주기관으로부터 사전승인을 받고 하도급 계약을 하여야 함</t>
  </si>
  <si>
    <t xml:space="preserve">◦ 본 사업의 과업의 일부를 하도급하려는 경우 「소프트웨어 진흥법」 제51조제1항에 따라 물품(상용소프트웨어 포함) 구매금액을 제외한 소프트웨어사업금액의 100분의 50을 초과할 수 없으며, 같은 법 제3항에 따라 다시 하도급은 원칙적으로 불허함. 다만, 같은 법 제51조제2항 각 호 및 제3항 각 호에 해당하는 경우 그러하지 아니함</t>
  </si>
  <si>
    <t xml:space="preserve">◦ 본 사업 과업의 일부를 하도급하려는 경우 계약체결 시 「소프트웨어사업 계약 및 관리 감독에 관한 지침」의 별지 제7호서식 소프트웨어사업 하도급 계획서를 제출하여야 함</t>
  </si>
  <si>
    <t xml:space="preserve">◦ 본 사업은 기술성 평가 시 ‘하도급계획적정성’을 평가항목에 포함하는 사업으로 「소프트웨어 기술성 평가기준 지침」 별지 제4호서식 ‘소프트웨어사업 하도급 계획 적정성 확인서’를 제출해야 함</t>
  </si>
  <si>
    <t xml:space="preserve">◦ 발주사는 하도급계약의 승인을 신청하는 경우, 「소프트웨어사업 계약 및 관리 감독에 관한 지침」의 별표 3 [하도급계약의 적정성 판단 세부기준]에 따라 적정성여부를 판단하며, 평가점수가 85점 이상인 경우에 한하여 하도급계약을 승인함. 다만, 85점 이상인 경우라 하더라도 하도급 계약의 세부 조건 등으로 인하여 사업의 원활한 수행이 불가능하다고 인정되는 경우 그 사유를 기재하여 하도급 승인 거절을 통보할 수 있음</t>
  </si>
  <si>
    <t xml:space="preserve">◦ 본 사업에서 전체 사업금액 대비 10%를 초과하여 하도급하려는 경우, 「소프트웨어 진흥법」 제51조제6항 및 동 법 시행령 제48조제5항에 따라 하도급이 아닌 공동수급체를 구성하여 참여해야하며, 공동수급체를 구성하지 못하는 불가피한 사정이 있는 경우 그 사유를 제시하여야 함</t>
  </si>
  <si>
    <t xml:space="preserve">COR-006</t>
  </si>
  <si>
    <t xml:space="preserve">기술적용계획표 및 결과표 작성</t>
  </si>
  <si>
    <t xml:space="preserve">◦ 발주자가 작성한 기술적용계획표의 검토 및 준수와 결과표 작성 방안을 제시하여야 하며, 제안서 제출 시 변경하여 제출할 수 있음</t>
  </si>
  <si>
    <t xml:space="preserve">◦ 기술적용계획표의 기술표준이 본 사업에 부합하는지 검토하여야 하며, 계약 이후 변경이 필요할 경우 타당한 사유를 제시하여 발주자와 상호 협의하여 조정하여야 함</t>
  </si>
  <si>
    <t xml:space="preserve">◦ 기술적용계획표 검토 시 부득이한 경우를 제외하고는 특정 기술에 종속되지 않는 개방형 기술로 구현하도록 검토하여야 함</t>
  </si>
  <si>
    <t xml:space="preserve">COR-007</t>
  </si>
  <si>
    <t xml:space="preserve">기타 제약사항</t>
  </si>
  <si>
    <t xml:space="preserve">◦ 본 과업은 재법규, 용역규정 및 본 과업지시서와 감독원의 지시에 따라 수행하여야 하며, 과업지시서에 명시된 모든 항목은 최소한의 사항만을 규정하였으므로 상세히 기술되지 않았거나 누락된 사항에 대하여 계약상대자는 운영상 문제가 발생하지 않도록 사전 조치를 하여야 함</t>
  </si>
  <si>
    <t xml:space="preserve">◦ 제안서 제출 시 내용에 대하여 오해의 소지가 없도록 명확히 기재하여야 하며, 해석상의 차이가 발생할 경우 발주기관의 해석에 따름</t>
  </si>
  <si>
    <t xml:space="preserve">COR-008</t>
  </si>
  <si>
    <t xml:space="preserve">손해배상</t>
  </si>
  <si>
    <t xml:space="preserve">◦ 계약상대자가 고의 또는 과실로 발주사에 재산상의 손해를 가한 때에는 그 손해를 발주사에 배상할 책임을 지며, 책임을 면하고자 하는경우 무과실입증 책임은 계약상대자가 짐</t>
  </si>
  <si>
    <t xml:space="preserve">기타</t>
  </si>
  <si>
    <t xml:space="preserve">AIG-001</t>
  </si>
  <si>
    <t xml:space="preserve">투명성 확보</t>
  </si>
  <si>
    <t xml:space="preserve">◦ 본 사업으로 구축된 시스템은 「인공지능 발전과 신뢰 기반 조성 등에 관한 기본법」 및 관련 정부 정책·가이드라인에서 제시하는 투명성, 설명가능성 및 책임성 원칙을 반영하여 이용자가 AI의 응답 생성 및 업무 수행 과정을 확인할 수 있도록 하여야 함</t>
  </si>
  <si>
    <t xml:space="preserve">◦ 시스템은 AI 서비스의 응답 생성 근거가 되는 문서, 데이터 및 정보 출처를 이용자가 확인할 수 있도록 하여야 함</t>
  </si>
  <si>
    <t xml:space="preserve">◦ 시스템은 응답 생성 시 활용된 내·외부 정보 및 연계 서비스 활용 여부를 이용자가 확인할 수 있도록 하여야 함</t>
  </si>
  <si>
    <r>
      <rPr>
        <sz val="9"/>
        <rFont val="맑은 고딕"/>
        <family val="3"/>
        <charset val="129"/>
      </rPr>
      <t xml:space="preserve">◦ Agent </t>
    </r>
    <r>
      <rPr>
        <sz val="9"/>
        <rFont val="WenQuanYi Zen Hei"/>
        <family val="2"/>
      </rPr>
      <t xml:space="preserve">및 </t>
    </r>
    <r>
      <rPr>
        <sz val="9"/>
        <rFont val="맑은 고딕"/>
        <family val="3"/>
        <charset val="129"/>
      </rPr>
      <t xml:space="preserve">MCP </t>
    </r>
    <r>
      <rPr>
        <sz val="9"/>
        <rFont val="WenQuanYi Zen Hei"/>
        <family val="2"/>
      </rPr>
      <t xml:space="preserve">기반 기능 수행 시 호출된 도구</t>
    </r>
    <r>
      <rPr>
        <sz val="9"/>
        <rFont val="맑은 고딕"/>
        <family val="3"/>
        <charset val="129"/>
      </rPr>
      <t xml:space="preserve">(Tool), </t>
    </r>
    <r>
      <rPr>
        <sz val="9"/>
        <rFont val="WenQuanYi Zen Hei"/>
        <family val="2"/>
      </rPr>
      <t xml:space="preserve">연계 시스템 및 처리 결과를 확인할 수 있도록 하여야 함</t>
    </r>
  </si>
  <si>
    <t xml:space="preserve">AIG-002</t>
  </si>
  <si>
    <t xml:space="preserve">설명가능성 확보</t>
  </si>
  <si>
    <t xml:space="preserve">◦ 본 사업으로 구축된 시스템은 「인공지능 발전과 신뢰 기반 조성 등에 관한 기본법」 및 관련 정부 정책·가이드라인에서 제시하는 설명가능성 원칙을 반영하여 설명가능 인공지능(XAI, eXplainable AI) 기능을 제공하여야 함</t>
  </si>
  <si>
    <t xml:space="preserve">◦ 시스템은 AI가 생성한 주요 답변, 추천 및 업무 수행 결과가 도출된 이유를 이용자가 이해할 수 있도록 설명 기능을 제공하여야 함</t>
  </si>
  <si>
    <r>
      <rPr>
        <sz val="9"/>
        <rFont val="맑은 고딕"/>
        <family val="3"/>
        <charset val="129"/>
      </rPr>
      <t xml:space="preserve">◦ Agent </t>
    </r>
    <r>
      <rPr>
        <sz val="9"/>
        <rFont val="WenQuanYi Zen Hei"/>
        <family val="2"/>
      </rPr>
      <t xml:space="preserve">기반 업무 수행 시 결과 도출에 영향을 미친 주요 의사결정 과정 및 판단 사유를 설명할 수 있어야 함</t>
    </r>
  </si>
  <si>
    <t xml:space="preserve">AIG-003</t>
  </si>
  <si>
    <t xml:space="preserve">추적가능성 확보</t>
  </si>
  <si>
    <t xml:space="preserve">◦ 본 사업으로 구축된 시스템은 「인공지능 발전과 신뢰 기반 조성 등에 관한 기본법」 및 관련 정부 정책·가이드라인에서 제시하는 책임성 및 추적가능성 원칙을 반영하여야 함</t>
  </si>
  <si>
    <t xml:space="preserve">◦ 시스템은 사용자 질의, AI 응답 및 Agent 수행 결과 등 주요 서비스 이용 이력을 기록·관리하는 기능을 제공하여야 함</t>
  </si>
  <si>
    <t xml:space="preserve">◦ 시스템은 AI 응답 생성 및 Agent 업무 수행 과정에서 발생한 모델 실행, Tool 호출 및 MCP 연계 내역을 기록·관리하는 기능을 제공하여야 함</t>
  </si>
  <si>
    <t xml:space="preserve">◦ 시스템은 관리자가 AI 서비스의 이용 이력, 응답 생성 이력 및 Agent 수행 이력을 조회할 수 있는 기능을 제공하여야 함</t>
  </si>
  <si>
    <t xml:space="preserve">AIG-004</t>
  </si>
  <si>
    <t xml:space="preserve">인간의 감독(HITL) 체계 확보</t>
  </si>
  <si>
    <t xml:space="preserve">◦ 본 사업으로 구축된 시스템은 인간의 감독(Human Oversight) 원칙을 반영하여 Human-in-the-Loop(HITL) 체계를 적용하여야 함</t>
  </si>
  <si>
    <t xml:space="preserve">◦ 시스템은 중요 업무 수행 시 사용자가 AI의 수행 결과를 확인하고 승인할 수 있는 기능을 제공하여야 함</t>
  </si>
  <si>
    <t xml:space="preserve">◦ 시스템은 Agent 기반 업무 수행 과정에서 사용자가 개입하거나 작업을 중단할 수 있는 기능을 제공하여야 함</t>
  </si>
  <si>
    <t xml:space="preserve">◦ 시스템은 AI가 수행한 주요 작업 결과에 대하여 사용자가 수정·보완할 수 있는 기능을 제공하여야 함</t>
  </si>
  <si>
    <t xml:space="preserve">AIG-005</t>
  </si>
  <si>
    <r>
      <rPr>
        <sz val="9"/>
        <rFont val="맑은 고딕"/>
        <family val="3"/>
        <charset val="129"/>
      </rPr>
      <t xml:space="preserve">AI </t>
    </r>
    <r>
      <rPr>
        <sz val="9"/>
        <rFont val="WenQuanYi Zen Hei"/>
        <family val="2"/>
      </rPr>
      <t xml:space="preserve">안전성 확보</t>
    </r>
  </si>
  <si>
    <t xml:space="preserve">◦ 본 사업으로 구축된 시스템은 「인공지능 발전과 신뢰 기반 조성 등에 관한 기본법」 및 관련 정부 정책·가이드라인에서 제시하는 안전성 원칙을 반영하여야 함</t>
  </si>
  <si>
    <t xml:space="preserve">◦ 시스템은 부정확하거나 부적절한 응답 생성 위험을 최소화할 수 있는 기능을 제공하여야 함</t>
  </si>
  <si>
    <t xml:space="preserve">◦ 시스템은 Agent 및 MCP 기반 기능 수행 과정에서 예기치 않은 동작 또는 오류 발생 시 이를 감지하고 대응할 수 있는 기능을 제공하여야 함</t>
  </si>
  <si>
    <t xml:space="preserve">◦ 시스템은 AI 서비스의 안전성과 신뢰성 확보를 위한 보호조치를 적용하여야 함</t>
  </si>
  <si>
    <t xml:space="preserve">리스크 및 고려사항</t>
  </si>
  <si>
    <t xml:space="preserve">등급은 발생가능성 × 영향도로 자동 산출됩니다. 등급 [최상] 항목은 대응방안·담당·시점을 반드시 기재하십시오.</t>
  </si>
  <si>
    <t xml:space="preserve">리스크명</t>
  </si>
  <si>
    <t xml:space="preserve">상세 내용</t>
  </si>
  <si>
    <t xml:space="preserve">관련 근거
(요구사항 ID 등)</t>
  </si>
  <si>
    <t xml:space="preserve">발생가능성</t>
  </si>
  <si>
    <t xml:space="preserve">영향도</t>
  </si>
  <si>
    <t xml:space="preserve">등급
(자동)</t>
  </si>
  <si>
    <t xml:space="preserve">대응전략</t>
  </si>
  <si>
    <t xml:space="preserve">대응방안</t>
  </si>
  <si>
    <t xml:space="preserve">담당</t>
  </si>
  <si>
    <t xml:space="preserve">대응 시점</t>
  </si>
  <si>
    <t xml:space="preserve">상태</t>
  </si>
  <si>
    <t xml:space="preserve">발주기관 확인사항 · 질의</t>
  </si>
  <si>
    <t xml:space="preserve">공공 입찰은 제안 질의 마감일이 별도로 존재합니다. 시급도 [최우선] 항목은 반드시 공식 질의로 서면 회신을 확보하십시오.</t>
  </si>
  <si>
    <t xml:space="preserve">확인 ID</t>
  </si>
  <si>
    <t xml:space="preserve">확인사항</t>
  </si>
  <si>
    <t xml:space="preserve">배경 · 근거</t>
  </si>
  <si>
    <t xml:space="preserve">미확정 시 영향</t>
  </si>
  <si>
    <t xml:space="preserve">확인 채널</t>
  </si>
  <si>
    <t xml:space="preserve">시급도</t>
  </si>
  <si>
    <t xml:space="preserve">질의 제출일</t>
  </si>
  <si>
    <t xml:space="preserve">회신 내용 요약</t>
  </si>
  <si>
    <t xml:space="preserve">손익 시나리오   ★V2.0 신설</t>
  </si>
  <si>
    <t xml:space="preserve">노란 셀만 입력하십시오. 공수(M/M)는 「③ 요구사항 검토」 및 「① 표지」와 연동되며, 이익률은 「① 표지」 Gate 2 판정에 사용됩니다.</t>
  </si>
  <si>
    <r>
      <rPr>
        <b val="true"/>
        <sz val="11"/>
        <color rgb="FFFFFFFF"/>
        <rFont val="맑은 고딕"/>
        <family val="3"/>
        <charset val="129"/>
      </rPr>
      <t xml:space="preserve">1. </t>
    </r>
    <r>
      <rPr>
        <b val="true"/>
        <sz val="11"/>
        <color rgb="FFFFFFFF"/>
        <rFont val="WenQuanYi Zen Hei"/>
        <family val="2"/>
      </rPr>
      <t xml:space="preserve">재원 </t>
    </r>
    <r>
      <rPr>
        <b val="true"/>
        <sz val="11"/>
        <color rgb="FFFFFFFF"/>
        <rFont val="맑은 고딕"/>
        <family val="3"/>
        <charset val="129"/>
      </rPr>
      <t xml:space="preserve">(</t>
    </r>
    <r>
      <rPr>
        <b val="true"/>
        <sz val="11"/>
        <color rgb="FFFFFFFF"/>
        <rFont val="WenQuanYi Zen Hei"/>
        <family val="2"/>
      </rPr>
      <t xml:space="preserve">입력</t>
    </r>
    <r>
      <rPr>
        <b val="true"/>
        <sz val="11"/>
        <color rgb="FFFFFFFF"/>
        <rFont val="맑은 고딕"/>
        <family val="3"/>
        <charset val="129"/>
      </rPr>
      <t xml:space="preserve">)</t>
    </r>
  </si>
  <si>
    <t xml:space="preserve">사업예산 (VAT 별도)</t>
  </si>
  <si>
    <t xml:space="preserve">입찰공고문 추정가격 등</t>
  </si>
  <si>
    <t xml:space="preserve">공제 항목 ① (예: 기술지원 정액 지급)</t>
  </si>
  <si>
    <t xml:space="preserve">파워톡 기술지원비 41,800,000원(VAT 포함) ÷ 1.1 — 낙찰자가 정액 지급</t>
  </si>
  <si>
    <t xml:space="preserve">공제 항목 ② (예: 상용SW 직접구매)</t>
  </si>
  <si>
    <t xml:space="preserve">공제 항목 ③</t>
  </si>
  <si>
    <t xml:space="preserve">가용 재원</t>
  </si>
  <si>
    <r>
      <rPr>
        <b val="true"/>
        <sz val="11"/>
        <color rgb="FFFFFFFF"/>
        <rFont val="맑은 고딕"/>
        <family val="3"/>
        <charset val="129"/>
      </rPr>
      <t xml:space="preserve">2. </t>
    </r>
    <r>
      <rPr>
        <b val="true"/>
        <sz val="11"/>
        <color rgb="FFFFFFFF"/>
        <rFont val="WenQuanYi Zen Hei"/>
        <family val="2"/>
      </rPr>
      <t xml:space="preserve">원가 </t>
    </r>
    <r>
      <rPr>
        <b val="true"/>
        <sz val="11"/>
        <color rgb="FFFFFFFF"/>
        <rFont val="맑은 고딕"/>
        <family val="3"/>
        <charset val="129"/>
      </rPr>
      <t xml:space="preserve">(① </t>
    </r>
    <r>
      <rPr>
        <b val="true"/>
        <sz val="11"/>
        <color rgb="FFFFFFFF"/>
        <rFont val="WenQuanYi Zen Hei"/>
        <family val="2"/>
      </rPr>
      <t xml:space="preserve">표지 </t>
    </r>
    <r>
      <rPr>
        <b val="true"/>
        <sz val="11"/>
        <color rgb="FFFFFFFF"/>
        <rFont val="맑은 고딕"/>
        <family val="3"/>
        <charset val="129"/>
      </rPr>
      <t xml:space="preserve">4</t>
    </r>
    <r>
      <rPr>
        <b val="true"/>
        <sz val="11"/>
        <color rgb="FFFFFFFF"/>
        <rFont val="WenQuanYi Zen Hei"/>
        <family val="2"/>
      </rPr>
      <t xml:space="preserve">항 부문별 공수</t>
    </r>
    <r>
      <rPr>
        <b val="true"/>
        <sz val="11"/>
        <color rgb="FFFFFFFF"/>
        <rFont val="맑은 고딕"/>
        <family val="3"/>
        <charset val="129"/>
      </rPr>
      <t xml:space="preserve">·</t>
    </r>
    <r>
      <rPr>
        <b val="true"/>
        <sz val="11"/>
        <color rgb="FFFFFFFF"/>
        <rFont val="WenQuanYi Zen Hei"/>
        <family val="2"/>
      </rPr>
      <t xml:space="preserve">단가 연동</t>
    </r>
    <r>
      <rPr>
        <b val="true"/>
        <sz val="11"/>
        <color rgb="FFFFFFFF"/>
        <rFont val="맑은 고딕"/>
        <family val="3"/>
        <charset val="129"/>
      </rPr>
      <t xml:space="preserve">)</t>
    </r>
  </si>
  <si>
    <t xml:space="preserve">인건비 (부문별 합계)</t>
  </si>
  <si>
    <t xml:space="preserve">① 표지 4항에서 자동 연동</t>
  </si>
  <si>
    <t xml:space="preserve">출장비·상주 비용</t>
  </si>
  <si>
    <t xml:space="preserve">자체 10.18MM × 3,000,000원 + 외주 12.97MM × 1,000,000원 (연구소 6.5MM은 원격 수행 전제)</t>
  </si>
  <si>
    <t xml:space="preserve">상용SW·라이선스 구매</t>
  </si>
  <si>
    <t xml:space="preserve">상용 웹오피스 SDK는 견적 미확보 → 3항 미반영 원가로 계상</t>
  </si>
  <si>
    <t xml:space="preserve">인프라·장비 비용</t>
  </si>
  <si>
    <r>
      <rPr>
        <sz val="9"/>
        <color rgb="FF595959"/>
        <rFont val="맑은 고딕"/>
        <family val="3"/>
        <charset val="129"/>
      </rPr>
      <t xml:space="preserve">GPU·</t>
    </r>
    <r>
      <rPr>
        <sz val="9"/>
        <color rgb="FF595959"/>
        <rFont val="WenQuanYi Zen Hei"/>
        <family val="2"/>
      </rPr>
      <t xml:space="preserve">서버</t>
    </r>
    <r>
      <rPr>
        <sz val="9"/>
        <color rgb="FF595959"/>
        <rFont val="맑은 고딕"/>
        <family val="3"/>
        <charset val="129"/>
      </rPr>
      <t xml:space="preserve">·</t>
    </r>
    <r>
      <rPr>
        <sz val="9"/>
        <color rgb="FF595959"/>
        <rFont val="WenQuanYi Zen Hei"/>
        <family val="2"/>
      </rPr>
      <t xml:space="preserve">개발 </t>
    </r>
    <r>
      <rPr>
        <sz val="9"/>
        <color rgb="FF595959"/>
        <rFont val="맑은 고딕"/>
        <family val="3"/>
        <charset val="129"/>
      </rPr>
      <t xml:space="preserve">PC </t>
    </r>
    <r>
      <rPr>
        <sz val="9"/>
        <color rgb="FF595959"/>
        <rFont val="WenQuanYi Zen Hei"/>
        <family val="2"/>
      </rPr>
      <t xml:space="preserve">등 제안사 부담분</t>
    </r>
  </si>
  <si>
    <t xml:space="preserve">작업장소 임차·환경 구축</t>
  </si>
  <si>
    <t xml:space="preserve">상주 개발 사무공간, 회선, 보안환경</t>
  </si>
  <si>
    <t xml:space="preserve">검증·품질 비용</t>
  </si>
  <si>
    <t xml:space="preserve">성능 검증용 데이터 구축, QA 전담 인력 등</t>
  </si>
  <si>
    <t xml:space="preserve">기타 직접비</t>
  </si>
  <si>
    <t xml:space="preserve">원가 합계</t>
  </si>
  <si>
    <r>
      <rPr>
        <b val="true"/>
        <sz val="11"/>
        <color rgb="FFFFFFFF"/>
        <rFont val="맑은 고딕"/>
        <family val="3"/>
        <charset val="129"/>
      </rPr>
      <t xml:space="preserve">3. </t>
    </r>
    <r>
      <rPr>
        <b val="true"/>
        <sz val="11"/>
        <color rgb="FFFFFFFF"/>
        <rFont val="WenQuanYi Zen Hei"/>
        <family val="2"/>
      </rPr>
      <t xml:space="preserve">미반영 원가 </t>
    </r>
    <r>
      <rPr>
        <b val="true"/>
        <sz val="11"/>
        <color rgb="FFFFFFFF"/>
        <rFont val="맑은 고딕"/>
        <family val="3"/>
        <charset val="129"/>
      </rPr>
      <t xml:space="preserve">(</t>
    </r>
    <r>
      <rPr>
        <b val="true"/>
        <sz val="11"/>
        <color rgb="FFFFFFFF"/>
        <rFont val="WenQuanYi Zen Hei"/>
        <family val="2"/>
      </rPr>
      <t xml:space="preserve">추정</t>
    </r>
    <r>
      <rPr>
        <b val="true"/>
        <sz val="11"/>
        <color rgb="FFFFFFFF"/>
        <rFont val="맑은 고딕"/>
        <family val="3"/>
        <charset val="129"/>
      </rPr>
      <t xml:space="preserve">) — </t>
    </r>
    <r>
      <rPr>
        <b val="true"/>
        <sz val="11"/>
        <color rgb="FFFFFFFF"/>
        <rFont val="WenQuanYi Zen Hei"/>
        <family val="2"/>
      </rPr>
      <t xml:space="preserve">견적 미확보 항목</t>
    </r>
  </si>
  <si>
    <t xml:space="preserve">항목</t>
  </si>
  <si>
    <t xml:space="preserve">최소(원)</t>
  </si>
  <si>
    <t xml:space="preserve">최대(원)</t>
  </si>
  <si>
    <r>
      <rPr>
        <i val="true"/>
        <sz val="9"/>
        <color rgb="FF808080"/>
        <rFont val="맑은 고딕"/>
        <family val="3"/>
        <charset val="129"/>
      </rPr>
      <t xml:space="preserve">(</t>
    </r>
    <r>
      <rPr>
        <i val="true"/>
        <sz val="9"/>
        <color rgb="FF808080"/>
        <rFont val="WenQuanYi Zen Hei"/>
        <family val="2"/>
      </rPr>
      <t xml:space="preserve">예시</t>
    </r>
    <r>
      <rPr>
        <i val="true"/>
        <sz val="9"/>
        <color rgb="FF808080"/>
        <rFont val="맑은 고딕"/>
        <family val="3"/>
        <charset val="129"/>
      </rPr>
      <t xml:space="preserve">) </t>
    </r>
    <r>
      <rPr>
        <i val="true"/>
        <sz val="9"/>
        <color rgb="FF808080"/>
        <rFont val="WenQuanYi Zen Hei"/>
        <family val="2"/>
      </rPr>
      <t xml:space="preserve">상용 솔루션 라이선스</t>
    </r>
  </si>
  <si>
    <t xml:space="preserve">제품 미지원(F4) 항목 대응을 위한 상용SW 도입 시 기재</t>
  </si>
  <si>
    <t xml:space="preserve">미반영 원가 합계</t>
  </si>
  <si>
    <r>
      <rPr>
        <b val="true"/>
        <sz val="11"/>
        <color rgb="FFFFFFFF"/>
        <rFont val="맑은 고딕"/>
        <family val="3"/>
        <charset val="129"/>
      </rPr>
      <t xml:space="preserve">4. </t>
    </r>
    <r>
      <rPr>
        <b val="true"/>
        <sz val="11"/>
        <color rgb="FFFFFFFF"/>
        <rFont val="WenQuanYi Zen Hei"/>
        <family val="2"/>
      </rPr>
      <t xml:space="preserve">손익 판정</t>
    </r>
  </si>
  <si>
    <t xml:space="preserve">이익 (가용재원 − 원가)</t>
  </si>
  <si>
    <t xml:space="preserve">이익률</t>
  </si>
  <si>
    <t xml:space="preserve">→ ① 표지 Gate 2 판정에 연동</t>
  </si>
  <si>
    <t xml:space="preserve">미반영 원가 최대 반영 시 이익</t>
  </si>
  <si>
    <t xml:space="preserve">미반영 원가 최대 반영 시 이익률</t>
  </si>
  <si>
    <t xml:space="preserve">작성 가이드 (V1.1)</t>
  </si>
  <si>
    <r>
      <rPr>
        <sz val="9"/>
        <color rgb="FFC00000"/>
        <rFont val="맑은 고딕"/>
        <family val="3"/>
        <charset val="129"/>
      </rPr>
      <t xml:space="preserve">Pre-VRB</t>
    </r>
    <r>
      <rPr>
        <sz val="9"/>
        <color rgb="FFC00000"/>
        <rFont val="WenQuanYi Zen Hei"/>
        <family val="2"/>
      </rPr>
      <t xml:space="preserve">는 사업 전반을 심의하는 자리가 아니라</t>
    </r>
    <r>
      <rPr>
        <sz val="9"/>
        <color rgb="FFC00000"/>
        <rFont val="맑은 고딕"/>
        <family val="3"/>
        <charset val="129"/>
      </rPr>
      <t xml:space="preserve">, </t>
    </r>
    <r>
      <rPr>
        <sz val="9"/>
        <color rgb="FFC00000"/>
        <rFont val="WenQuanYi Zen Hei"/>
        <family val="2"/>
      </rPr>
      <t xml:space="preserve">제품으로 해결되지 않는 부분의 개발 공수와 일정을 확정하기 위한 단계입니다</t>
    </r>
    <r>
      <rPr>
        <sz val="9"/>
        <color rgb="FFC00000"/>
        <rFont val="맑은 고딕"/>
        <family val="3"/>
        <charset val="129"/>
      </rPr>
      <t xml:space="preserve">.</t>
    </r>
  </si>
  <si>
    <r>
      <rPr>
        <b val="true"/>
        <sz val="11"/>
        <color rgb="FFFFFFFF"/>
        <rFont val="맑은 고딕"/>
        <family val="3"/>
        <charset val="129"/>
      </rPr>
      <t xml:space="preserve">1. Pre-VRB </t>
    </r>
    <r>
      <rPr>
        <b val="true"/>
        <sz val="11"/>
        <color rgb="FFFFFFFF"/>
        <rFont val="WenQuanYi Zen Hei"/>
        <family val="2"/>
      </rPr>
      <t xml:space="preserve">프로세스 및 부서 역할</t>
    </r>
  </si>
  <si>
    <t xml:space="preserve">단계</t>
  </si>
  <si>
    <t xml:space="preserve">주관 부서</t>
  </si>
  <si>
    <t xml:space="preserve">수행 내용</t>
  </si>
  <si>
    <t xml:space="preserve">산출물</t>
  </si>
  <si>
    <r>
      <rPr>
        <b val="true"/>
        <sz val="9"/>
        <rFont val="맑은 고딕"/>
        <family val="3"/>
        <charset val="129"/>
      </rPr>
      <t xml:space="preserve">① Pre-VRB </t>
    </r>
    <r>
      <rPr>
        <b val="true"/>
        <sz val="9"/>
        <rFont val="WenQuanYi Zen Hei"/>
        <family val="2"/>
      </rPr>
      <t xml:space="preserve">요청</t>
    </r>
  </si>
  <si>
    <t xml:space="preserve">영업부서 (AX서비스사업부 AX서비스영업팀·AX서비스BD팀)</t>
  </si>
  <si>
    <t xml:space="preserve">제안 건 발생 시 인공지능연구소 및 AI사업부문 PMO/PM에 Pre-VRB를 요청. 제안요청서·공고문·고객 협의 내용 공유</t>
  </si>
  <si>
    <r>
      <rPr>
        <sz val="9"/>
        <rFont val="맑은 고딕"/>
        <family val="3"/>
        <charset val="129"/>
      </rPr>
      <t xml:space="preserve">Pre-VRB </t>
    </r>
    <r>
      <rPr>
        <sz val="9"/>
        <rFont val="WenQuanYi Zen Hei"/>
        <family val="2"/>
      </rPr>
      <t xml:space="preserve">요청 </t>
    </r>
    <r>
      <rPr>
        <sz val="9"/>
        <rFont val="맑은 고딕"/>
        <family val="3"/>
        <charset val="129"/>
      </rPr>
      <t xml:space="preserve">(①</t>
    </r>
    <r>
      <rPr>
        <sz val="9"/>
        <rFont val="WenQuanYi Zen Hei"/>
        <family val="2"/>
      </rPr>
      <t xml:space="preserve">표지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항 작성</t>
    </r>
    <r>
      <rPr>
        <sz val="9"/>
        <rFont val="맑은 고딕"/>
        <family val="3"/>
        <charset val="129"/>
      </rPr>
      <t xml:space="preserve">)</t>
    </r>
  </si>
  <si>
    <t xml:space="preserve">② 요구사항 전사 · 사전산정</t>
  </si>
  <si>
    <t xml:space="preserve">영업부서 (AX서비스BD팀)</t>
  </si>
  <si>
    <t xml:space="preserve">제안요청서의 시스템·기능 / 성능·품질 / 인터페이스 / 데이터 요구사항을 상세 내용의 단락 단위로 분해하여 「③ 요구사항 검토」에 원문 그대로 기재하고, BD 자체 사전산정 공수를 함께 기재</t>
  </si>
  <si>
    <t xml:space="preserve">③시트 B~H 컬럼</t>
  </si>
  <si>
    <t xml:space="preserve">③ 제품 적합도 판정</t>
  </si>
  <si>
    <t xml:space="preserve">제품개발부서 (인공지능연구소)</t>
  </si>
  <si>
    <t xml:space="preserve">각 세부항목이 제품 기본기능으로 해결되는지, 제품 추가개발이 필요한지, 제품 범위 밖(SI 대상)인지를 구분하고 제품 추가개발 공수를 산정</t>
  </si>
  <si>
    <t xml:space="preserve">③시트 I~M 컬럼</t>
  </si>
  <si>
    <t xml:space="preserve">④ 개발 공수 산정</t>
  </si>
  <si>
    <t xml:space="preserve">수행부서 (AI사업부문 PM·PMO)</t>
  </si>
  <si>
    <t xml:space="preserve">연구소의 Fit 판정 결과를 검토한 뒤, 제품 외 영역을 제품 활용 개발 / 커스터마이징 신규개발(SI) / 연계 개발로 구분하고 공수를 산정. 자체 인력으로 부족한 부분은 협력업체 외주용역으로 구성</t>
  </si>
  <si>
    <t xml:space="preserve">③시트 N~T 컬럼</t>
  </si>
  <si>
    <t xml:space="preserve">⑤ 취합·검토의견 제출</t>
  </si>
  <si>
    <t xml:space="preserve">수행부서 (AI사업부문 PM 주관 · PMO 지원)</t>
  </si>
  <si>
    <t xml:space="preserve">배정된 PM이 연구소의 Fit 판정 결과를 상세 검토하고 제품 외 개발공수 산정 결과를 종합하여 Pre-VRB 검토 의견을 별도 시트 또는 보고서로 제출. PMO는 작성 기준·양식·산정 방법을 가이드하고 결과를 검증</t>
  </si>
  <si>
    <r>
      <rPr>
        <sz val="9"/>
        <rFont val="맑은 고딕"/>
        <family val="3"/>
        <charset val="129"/>
      </rPr>
      <t xml:space="preserve">①·④·⑤·⑥</t>
    </r>
    <r>
      <rPr>
        <sz val="9"/>
        <rFont val="WenQuanYi Zen Hei"/>
        <family val="2"/>
      </rPr>
      <t xml:space="preserve">시트 </t>
    </r>
    <r>
      <rPr>
        <sz val="9"/>
        <rFont val="맑은 고딕"/>
        <family val="3"/>
        <charset val="129"/>
      </rPr>
      <t xml:space="preserve">+ PM </t>
    </r>
    <r>
      <rPr>
        <sz val="9"/>
        <rFont val="WenQuanYi Zen Hei"/>
        <family val="2"/>
      </rPr>
      <t xml:space="preserve">검토의견 보고서</t>
    </r>
  </si>
  <si>
    <t xml:space="preserve">⑥ 제안 여부 결정</t>
  </si>
  <si>
    <r>
      <rPr>
        <sz val="9"/>
        <rFont val="맑은 고딕"/>
        <family val="3"/>
        <charset val="129"/>
      </rPr>
      <t xml:space="preserve">VRB (</t>
    </r>
    <r>
      <rPr>
        <sz val="9"/>
        <rFont val="WenQuanYi Zen Hei"/>
        <family val="2"/>
      </rPr>
      <t xml:space="preserve">영업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제안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수행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제품개발부서 합동</t>
    </r>
    <r>
      <rPr>
        <sz val="9"/>
        <rFont val="맑은 고딕"/>
        <family val="3"/>
        <charset val="129"/>
      </rPr>
      <t xml:space="preserve">)</t>
    </r>
  </si>
  <si>
    <t xml:space="preserve">게이트 판정과 검토 의견을 근거로 제안 참여 여부 및 조건을 결정</t>
  </si>
  <si>
    <t xml:space="preserve">①표지 5항</t>
  </si>
  <si>
    <r>
      <rPr>
        <b val="true"/>
        <sz val="11"/>
        <color rgb="FFFFFFFF"/>
        <rFont val="맑은 고딕"/>
        <family val="3"/>
        <charset val="129"/>
      </rPr>
      <t xml:space="preserve">2. </t>
    </r>
    <r>
      <rPr>
        <b val="true"/>
        <sz val="11"/>
        <color rgb="FFFFFFFF"/>
        <rFont val="WenQuanYi Zen Hei"/>
        <family val="2"/>
      </rPr>
      <t xml:space="preserve">유관 부서 및 역할 정의</t>
    </r>
  </si>
  <si>
    <t xml:space="preserve">부서</t>
  </si>
  <si>
    <r>
      <rPr>
        <b val="true"/>
        <sz val="9"/>
        <color rgb="FF1F3864"/>
        <rFont val="맑은 고딕"/>
        <family val="3"/>
        <charset val="129"/>
      </rPr>
      <t xml:space="preserve">Pre-VRB </t>
    </r>
    <r>
      <rPr>
        <b val="true"/>
        <sz val="9"/>
        <color rgb="FF1F3864"/>
        <rFont val="WenQuanYi Zen Hei"/>
        <family val="2"/>
      </rPr>
      <t xml:space="preserve">역할</t>
    </r>
  </si>
  <si>
    <t xml:space="preserve">영업부서</t>
  </si>
  <si>
    <r>
      <rPr>
        <sz val="9"/>
        <rFont val="맑은 고딕"/>
        <family val="3"/>
        <charset val="129"/>
      </rPr>
      <t xml:space="preserve">AX</t>
    </r>
    <r>
      <rPr>
        <sz val="9"/>
        <rFont val="WenQuanYi Zen Hei"/>
        <family val="2"/>
      </rPr>
      <t xml:space="preserve">서비스사업부 </t>
    </r>
    <r>
      <rPr>
        <sz val="9"/>
        <rFont val="맑은 고딕"/>
        <family val="3"/>
        <charset val="129"/>
      </rPr>
      <t xml:space="preserve">AX</t>
    </r>
    <r>
      <rPr>
        <sz val="9"/>
        <rFont val="WenQuanYi Zen Hei"/>
        <family val="2"/>
      </rPr>
      <t xml:space="preserve">서비스영업팀 </t>
    </r>
    <r>
      <rPr>
        <sz val="9"/>
        <rFont val="맑은 고딕"/>
        <family val="3"/>
        <charset val="129"/>
      </rPr>
      <t xml:space="preserve">· AX</t>
    </r>
    <r>
      <rPr>
        <sz val="9"/>
        <rFont val="WenQuanYi Zen Hei"/>
        <family val="2"/>
      </rPr>
      <t xml:space="preserve">서비스</t>
    </r>
    <r>
      <rPr>
        <sz val="9"/>
        <rFont val="맑은 고딕"/>
        <family val="3"/>
        <charset val="129"/>
      </rPr>
      <t xml:space="preserve">BD</t>
    </r>
    <r>
      <rPr>
        <sz val="9"/>
        <rFont val="WenQuanYi Zen Hei"/>
        <family val="2"/>
      </rPr>
      <t xml:space="preserve">팀</t>
    </r>
  </si>
  <si>
    <r>
      <rPr>
        <sz val="9"/>
        <rFont val="맑은 고딕"/>
        <family val="3"/>
        <charset val="129"/>
      </rPr>
      <t xml:space="preserve">Pre-VRB </t>
    </r>
    <r>
      <rPr>
        <sz val="9"/>
        <rFont val="WenQuanYi Zen Hei"/>
        <family val="2"/>
      </rPr>
      <t xml:space="preserve">요청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고객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발주처 정보 제공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제안요청서 요구사항 전사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발주기관 확인사항 질의 제출</t>
    </r>
  </si>
  <si>
    <t xml:space="preserve">③시트 요구사항 전사의 주체</t>
  </si>
  <si>
    <t xml:space="preserve">제안부서</t>
  </si>
  <si>
    <r>
      <rPr>
        <sz val="9"/>
        <rFont val="맑은 고딕"/>
        <family val="3"/>
        <charset val="129"/>
      </rPr>
      <t xml:space="preserve">AX</t>
    </r>
    <r>
      <rPr>
        <sz val="9"/>
        <rFont val="WenQuanYi Zen Hei"/>
        <family val="2"/>
      </rPr>
      <t xml:space="preserve">서비스사업부 기획팀</t>
    </r>
  </si>
  <si>
    <t xml:space="preserve">제안 전략·일정 수립, 제안서 작성 총괄, 평가 기준 및 제출 요건 관리</t>
  </si>
  <si>
    <r>
      <rPr>
        <sz val="9"/>
        <rFont val="맑은 고딕"/>
        <family val="3"/>
        <charset val="129"/>
      </rPr>
      <t xml:space="preserve">Pre-VRB </t>
    </r>
    <r>
      <rPr>
        <sz val="9"/>
        <rFont val="WenQuanYi Zen Hei"/>
        <family val="2"/>
      </rPr>
      <t xml:space="preserve">결과를 제안 전략에 반영</t>
    </r>
  </si>
  <si>
    <t xml:space="preserve">수행부서</t>
  </si>
  <si>
    <r>
      <rPr>
        <sz val="9"/>
        <rFont val="맑은 고딕"/>
        <family val="3"/>
        <charset val="129"/>
      </rPr>
      <t xml:space="preserve">AI</t>
    </r>
    <r>
      <rPr>
        <sz val="9"/>
        <rFont val="WenQuanYi Zen Hei"/>
        <family val="2"/>
      </rPr>
      <t xml:space="preserve">사업부문 </t>
    </r>
    <r>
      <rPr>
        <sz val="9"/>
        <rFont val="맑은 고딕"/>
        <family val="3"/>
        <charset val="129"/>
      </rPr>
      <t xml:space="preserve">PM · PMO · AI</t>
    </r>
    <r>
      <rPr>
        <sz val="9"/>
        <rFont val="WenQuanYi Zen Hei"/>
        <family val="2"/>
      </rPr>
      <t xml:space="preserve">기술팀 </t>
    </r>
    <r>
      <rPr>
        <sz val="9"/>
        <rFont val="맑은 고딕"/>
        <family val="3"/>
        <charset val="129"/>
      </rPr>
      <t xml:space="preserve">· </t>
    </r>
    <r>
      <rPr>
        <sz val="9"/>
        <rFont val="WenQuanYi Zen Hei"/>
        <family val="2"/>
      </rPr>
      <t xml:space="preserve">서비스개발팀 </t>
    </r>
    <r>
      <rPr>
        <sz val="9"/>
        <rFont val="맑은 고딕"/>
        <family val="3"/>
        <charset val="129"/>
      </rPr>
      <t xml:space="preserve">· </t>
    </r>
    <r>
      <rPr>
        <sz val="9"/>
        <rFont val="WenQuanYi Zen Hei"/>
        <family val="2"/>
      </rPr>
      <t xml:space="preserve">데이터구축팀</t>
    </r>
  </si>
  <si>
    <t xml:space="preserve">제품 외 개발 공수 산정, 개발 구분 판정, 리스크·확인사항 관리, 손익 산정 및 검토의견 제출. PM이 주도적으로 작성하고 PMO는 산정 기준·양식을 가이드하며 결과를 검증</t>
  </si>
  <si>
    <t xml:space="preserve">투입 인력 부족 시 협력업체 외주용역으로 구성 — ③시트 '공수 외주·협력사'에 기재</t>
  </si>
  <si>
    <t xml:space="preserve">제품개발부서</t>
  </si>
  <si>
    <t xml:space="preserve">인공지능연구소 (솔루션개발그룹 · LLM그룹 · KS그룹 · 음성그룹 · 비전그룹 · 자율에이전트그룹)</t>
  </si>
  <si>
    <t xml:space="preserve">제품 적합도(Fit) 판정, 제품 추가개발 범위 및 공수 산정, 제품 로드맵 반영 여부 결정</t>
  </si>
  <si>
    <t xml:space="preserve">제품별 그룹이 분리되어 있으므로 '담당 그룹' 컬럼에 판정 주체 그룹을 명시</t>
  </si>
  <si>
    <r>
      <rPr>
        <b val="true"/>
        <sz val="11"/>
        <color rgb="FFFFFFFF"/>
        <rFont val="맑은 고딕"/>
        <family val="3"/>
        <charset val="129"/>
      </rPr>
      <t xml:space="preserve">3. </t>
    </r>
    <r>
      <rPr>
        <b val="true"/>
        <sz val="11"/>
        <color rgb="FFFFFFFF"/>
        <rFont val="WenQuanYi Zen Hei"/>
        <family val="2"/>
      </rPr>
      <t xml:space="preserve">제품 적합도</t>
    </r>
    <r>
      <rPr>
        <b val="true"/>
        <sz val="11"/>
        <color rgb="FFFFFFFF"/>
        <rFont val="맑은 고딕"/>
        <family val="3"/>
        <charset val="129"/>
      </rPr>
      <t xml:space="preserve">(Fit) </t>
    </r>
    <r>
      <rPr>
        <b val="true"/>
        <sz val="11"/>
        <color rgb="FFFFFFFF"/>
        <rFont val="WenQuanYi Zen Hei"/>
        <family val="2"/>
      </rPr>
      <t xml:space="preserve">판정 코드   </t>
    </r>
    <r>
      <rPr>
        <b val="true"/>
        <sz val="11"/>
        <color rgb="FFFFFFFF"/>
        <rFont val="맑은 고딕"/>
        <family val="3"/>
        <charset val="129"/>
      </rPr>
      <t xml:space="preserve">[</t>
    </r>
    <r>
      <rPr>
        <b val="true"/>
        <sz val="11"/>
        <color rgb="FFFFFFFF"/>
        <rFont val="WenQuanYi Zen Hei"/>
        <family val="2"/>
      </rPr>
      <t xml:space="preserve">인공지능연구소 입력</t>
    </r>
    <r>
      <rPr>
        <b val="true"/>
        <sz val="11"/>
        <color rgb="FFFFFFFF"/>
        <rFont val="맑은 고딕"/>
        <family val="3"/>
        <charset val="129"/>
      </rPr>
      <t xml:space="preserve">]</t>
    </r>
  </si>
  <si>
    <t xml:space="preserve">코드</t>
  </si>
  <si>
    <t xml:space="preserve">의미</t>
  </si>
  <si>
    <t xml:space="preserve">판정 기준</t>
  </si>
  <si>
    <t xml:space="preserve">후속 처리</t>
  </si>
  <si>
    <r>
      <rPr>
        <b val="true"/>
        <sz val="9"/>
        <rFont val="맑은 고딕"/>
        <family val="3"/>
        <charset val="129"/>
      </rPr>
      <t xml:space="preserve">F1 </t>
    </r>
    <r>
      <rPr>
        <b val="true"/>
        <sz val="9"/>
        <rFont val="WenQuanYi Zen Hei"/>
        <family val="2"/>
      </rPr>
      <t xml:space="preserve">제품 기본기능</t>
    </r>
  </si>
  <si>
    <t xml:space="preserve">현행 제품이 그대로 제공</t>
  </si>
  <si>
    <t xml:space="preserve">별도 개발 없이 현재 제품 버전으로 요구사항 충족</t>
  </si>
  <si>
    <t xml:space="preserve">연구소 공수 0 / 사업부문은 D5 또는 D1(화면·연계만)</t>
  </si>
  <si>
    <r>
      <rPr>
        <b val="true"/>
        <sz val="9"/>
        <rFont val="맑은 고딕"/>
        <family val="3"/>
        <charset val="129"/>
      </rPr>
      <t xml:space="preserve">F2 </t>
    </r>
    <r>
      <rPr>
        <b val="true"/>
        <sz val="9"/>
        <rFont val="WenQuanYi Zen Hei"/>
        <family val="2"/>
      </rPr>
      <t xml:space="preserve">제품 설정</t>
    </r>
    <r>
      <rPr>
        <b val="true"/>
        <sz val="9"/>
        <rFont val="맑은 고딕"/>
        <family val="3"/>
        <charset val="129"/>
      </rPr>
      <t xml:space="preserve">·</t>
    </r>
    <r>
      <rPr>
        <b val="true"/>
        <sz val="9"/>
        <rFont val="WenQuanYi Zen Hei"/>
        <family val="2"/>
      </rPr>
      <t xml:space="preserve">구성</t>
    </r>
  </si>
  <si>
    <t xml:space="preserve">제품 설정·파라미터·템플릿으로 대응</t>
  </si>
  <si>
    <t xml:space="preserve">코드 수정 없이 관리자 설정·구성 작업만으로 충족</t>
  </si>
  <si>
    <t xml:space="preserve">연구소 공수 0 / 사업부문은 D1 제품 활용 개발</t>
  </si>
  <si>
    <r>
      <rPr>
        <b val="true"/>
        <sz val="9"/>
        <rFont val="맑은 고딕"/>
        <family val="3"/>
        <charset val="129"/>
      </rPr>
      <t xml:space="preserve">F3 </t>
    </r>
    <r>
      <rPr>
        <b val="true"/>
        <sz val="9"/>
        <rFont val="WenQuanYi Zen Hei"/>
        <family val="2"/>
      </rPr>
      <t xml:space="preserve">제품 추가개발</t>
    </r>
  </si>
  <si>
    <t xml:space="preserve">제품 코어 개선이 필요</t>
  </si>
  <si>
    <t xml:space="preserve">제품 자체를 개선해야 충족 가능하며 타 고객에도 공통 적용 가치가 있음</t>
  </si>
  <si>
    <t xml:space="preserve">연구소가 공수 산정 및 제품 로드맵 반영 여부 결정</t>
  </si>
  <si>
    <r>
      <rPr>
        <b val="true"/>
        <sz val="9"/>
        <rFont val="맑은 고딕"/>
        <family val="3"/>
        <charset val="129"/>
      </rPr>
      <t xml:space="preserve">F4 </t>
    </r>
    <r>
      <rPr>
        <b val="true"/>
        <sz val="9"/>
        <rFont val="WenQuanYi Zen Hei"/>
        <family val="2"/>
      </rPr>
      <t xml:space="preserve">제품 미지원</t>
    </r>
    <r>
      <rPr>
        <b val="true"/>
        <sz val="9"/>
        <rFont val="맑은 고딕"/>
        <family val="3"/>
        <charset val="129"/>
      </rPr>
      <t xml:space="preserve">(SI </t>
    </r>
    <r>
      <rPr>
        <b val="true"/>
        <sz val="9"/>
        <rFont val="WenQuanYi Zen Hei"/>
        <family val="2"/>
      </rPr>
      <t xml:space="preserve">대상</t>
    </r>
    <r>
      <rPr>
        <b val="true"/>
        <sz val="9"/>
        <rFont val="맑은 고딕"/>
        <family val="3"/>
        <charset val="129"/>
      </rPr>
      <t xml:space="preserve">)</t>
    </r>
  </si>
  <si>
    <t xml:space="preserve">제품 범위 밖</t>
  </si>
  <si>
    <t xml:space="preserve">고객 고유 요건이거나 제품 로드맵에 반영할 계획이 없음</t>
  </si>
  <si>
    <t xml:space="preserve">사업부문이 D2 또는 D3으로 공수 산정</t>
  </si>
  <si>
    <r>
      <rPr>
        <b val="true"/>
        <sz val="9"/>
        <rFont val="맑은 고딕"/>
        <family val="3"/>
        <charset val="129"/>
      </rPr>
      <t xml:space="preserve">F5 </t>
    </r>
    <r>
      <rPr>
        <b val="true"/>
        <sz val="9"/>
        <rFont val="WenQuanYi Zen Hei"/>
        <family val="2"/>
      </rPr>
      <t xml:space="preserve">비개발</t>
    </r>
    <r>
      <rPr>
        <b val="true"/>
        <sz val="9"/>
        <rFont val="맑은 고딕"/>
        <family val="3"/>
        <charset val="129"/>
      </rPr>
      <t xml:space="preserve">(</t>
    </r>
    <r>
      <rPr>
        <b val="true"/>
        <sz val="9"/>
        <rFont val="WenQuanYi Zen Hei"/>
        <family val="2"/>
      </rPr>
      <t xml:space="preserve">계약</t>
    </r>
    <r>
      <rPr>
        <b val="true"/>
        <sz val="9"/>
        <rFont val="맑은 고딕"/>
        <family val="3"/>
        <charset val="129"/>
      </rPr>
      <t xml:space="preserve">·</t>
    </r>
    <r>
      <rPr>
        <b val="true"/>
        <sz val="9"/>
        <rFont val="WenQuanYi Zen Hei"/>
        <family val="2"/>
      </rPr>
      <t xml:space="preserve">관리</t>
    </r>
    <r>
      <rPr>
        <b val="true"/>
        <sz val="9"/>
        <rFont val="맑은 고딕"/>
        <family val="3"/>
        <charset val="129"/>
      </rPr>
      <t xml:space="preserve">)</t>
    </r>
  </si>
  <si>
    <t xml:space="preserve">개발 대상이 아님</t>
  </si>
  <si>
    <t xml:space="preserve">계약조건·보안·품질·관리 요구사항 등</t>
  </si>
  <si>
    <t xml:space="preserve">사업부문이 D4로 관리 공수만 산정</t>
  </si>
  <si>
    <r>
      <rPr>
        <b val="true"/>
        <sz val="11"/>
        <color rgb="FFFFFFFF"/>
        <rFont val="맑은 고딕"/>
        <family val="3"/>
        <charset val="129"/>
      </rPr>
      <t xml:space="preserve">4. </t>
    </r>
    <r>
      <rPr>
        <b val="true"/>
        <sz val="11"/>
        <color rgb="FFFFFFFF"/>
        <rFont val="WenQuanYi Zen Hei"/>
        <family val="2"/>
      </rPr>
      <t xml:space="preserve">개발 구분 코드   </t>
    </r>
    <r>
      <rPr>
        <b val="true"/>
        <sz val="11"/>
        <color rgb="FFFFFFFF"/>
        <rFont val="맑은 고딕"/>
        <family val="3"/>
        <charset val="129"/>
      </rPr>
      <t xml:space="preserve">[AI</t>
    </r>
    <r>
      <rPr>
        <b val="true"/>
        <sz val="11"/>
        <color rgb="FFFFFFFF"/>
        <rFont val="WenQuanYi Zen Hei"/>
        <family val="2"/>
      </rPr>
      <t xml:space="preserve">사업부문 입력</t>
    </r>
    <r>
      <rPr>
        <b val="true"/>
        <sz val="11"/>
        <color rgb="FFFFFFFF"/>
        <rFont val="맑은 고딕"/>
        <family val="3"/>
        <charset val="129"/>
      </rPr>
      <t xml:space="preserve">]</t>
    </r>
  </si>
  <si>
    <t xml:space="preserve">공수 귀속</t>
  </si>
  <si>
    <r>
      <rPr>
        <b val="true"/>
        <sz val="9"/>
        <rFont val="맑은 고딕"/>
        <family val="3"/>
        <charset val="129"/>
      </rPr>
      <t xml:space="preserve">D1 </t>
    </r>
    <r>
      <rPr>
        <b val="true"/>
        <sz val="9"/>
        <rFont val="WenQuanYi Zen Hei"/>
        <family val="2"/>
      </rPr>
      <t xml:space="preserve">제품 활용 개발</t>
    </r>
  </si>
  <si>
    <t xml:space="preserve">제품 API·기능을 활용한 응용 개발</t>
  </si>
  <si>
    <t xml:space="preserve">제품이 제공하는 기능 위에 화면·흐름·설정을 구성</t>
  </si>
  <si>
    <r>
      <rPr>
        <sz val="9"/>
        <rFont val="맑은 고딕"/>
        <family val="3"/>
        <charset val="129"/>
      </rPr>
      <t xml:space="preserve">AI</t>
    </r>
    <r>
      <rPr>
        <sz val="9"/>
        <rFont val="WenQuanYi Zen Hei"/>
        <family val="2"/>
      </rPr>
      <t xml:space="preserve">사업부문 또는 외주</t>
    </r>
  </si>
  <si>
    <r>
      <rPr>
        <b val="true"/>
        <sz val="9"/>
        <rFont val="맑은 고딕"/>
        <family val="3"/>
        <charset val="129"/>
      </rPr>
      <t xml:space="preserve">D2 </t>
    </r>
    <r>
      <rPr>
        <b val="true"/>
        <sz val="9"/>
        <rFont val="WenQuanYi Zen Hei"/>
        <family val="2"/>
      </rPr>
      <t xml:space="preserve">커스터마이징 신규개발</t>
    </r>
    <r>
      <rPr>
        <b val="true"/>
        <sz val="9"/>
        <rFont val="맑은 고딕"/>
        <family val="3"/>
        <charset val="129"/>
      </rPr>
      <t xml:space="preserve">(SI)</t>
    </r>
  </si>
  <si>
    <t xml:space="preserve">제품과 무관한 신규 개발</t>
  </si>
  <si>
    <t xml:space="preserve">제품 미지원(F4) 항목을 신규 설계·개발</t>
  </si>
  <si>
    <r>
      <rPr>
        <b val="true"/>
        <sz val="9"/>
        <rFont val="맑은 고딕"/>
        <family val="3"/>
        <charset val="129"/>
      </rPr>
      <t xml:space="preserve">D3 </t>
    </r>
    <r>
      <rPr>
        <b val="true"/>
        <sz val="9"/>
        <rFont val="WenQuanYi Zen Hei"/>
        <family val="2"/>
      </rPr>
      <t xml:space="preserve">연계 개발</t>
    </r>
  </si>
  <si>
    <t xml:space="preserve">외부 시스템 인터페이스 개발</t>
  </si>
  <si>
    <t xml:space="preserve">타 시스템·타사 제품과의 연동</t>
  </si>
  <si>
    <r>
      <rPr>
        <b val="true"/>
        <sz val="9"/>
        <rFont val="맑은 고딕"/>
        <family val="3"/>
        <charset val="129"/>
      </rPr>
      <t xml:space="preserve">D4 </t>
    </r>
    <r>
      <rPr>
        <b val="true"/>
        <sz val="9"/>
        <rFont val="WenQuanYi Zen Hei"/>
        <family val="2"/>
      </rPr>
      <t xml:space="preserve">비개발</t>
    </r>
    <r>
      <rPr>
        <b val="true"/>
        <sz val="9"/>
        <rFont val="맑은 고딕"/>
        <family val="3"/>
        <charset val="129"/>
      </rPr>
      <t xml:space="preserve">(</t>
    </r>
    <r>
      <rPr>
        <b val="true"/>
        <sz val="9"/>
        <rFont val="WenQuanYi Zen Hei"/>
        <family val="2"/>
      </rPr>
      <t xml:space="preserve">관리</t>
    </r>
    <r>
      <rPr>
        <b val="true"/>
        <sz val="9"/>
        <rFont val="맑은 고딕"/>
        <family val="3"/>
        <charset val="129"/>
      </rPr>
      <t xml:space="preserve">·</t>
    </r>
    <r>
      <rPr>
        <b val="true"/>
        <sz val="9"/>
        <rFont val="WenQuanYi Zen Hei"/>
        <family val="2"/>
      </rPr>
      <t xml:space="preserve">지원</t>
    </r>
    <r>
      <rPr>
        <b val="true"/>
        <sz val="9"/>
        <rFont val="맑은 고딕"/>
        <family val="3"/>
        <charset val="129"/>
      </rPr>
      <t xml:space="preserve">)</t>
    </r>
  </si>
  <si>
    <t xml:space="preserve">관리·산출물·환경 구성 활동</t>
  </si>
  <si>
    <r>
      <rPr>
        <sz val="9"/>
        <rFont val="맑은 고딕"/>
        <family val="3"/>
        <charset val="129"/>
      </rPr>
      <t xml:space="preserve">PM·</t>
    </r>
    <r>
      <rPr>
        <sz val="9"/>
        <rFont val="WenQuanYi Zen Hei"/>
        <family val="2"/>
      </rPr>
      <t xml:space="preserve">품질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보안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인프라 구성 등</t>
    </r>
  </si>
  <si>
    <r>
      <rPr>
        <sz val="9"/>
        <rFont val="맑은 고딕"/>
        <family val="3"/>
        <charset val="129"/>
      </rPr>
      <t xml:space="preserve">PMO </t>
    </r>
    <r>
      <rPr>
        <sz val="9"/>
        <rFont val="WenQuanYi Zen Hei"/>
        <family val="2"/>
      </rPr>
      <t xml:space="preserve">또는 </t>
    </r>
    <r>
      <rPr>
        <sz val="9"/>
        <rFont val="맑은 고딕"/>
        <family val="3"/>
        <charset val="129"/>
      </rPr>
      <t xml:space="preserve">AI</t>
    </r>
    <r>
      <rPr>
        <sz val="9"/>
        <rFont val="WenQuanYi Zen Hei"/>
        <family val="2"/>
      </rPr>
      <t xml:space="preserve">사업부문</t>
    </r>
  </si>
  <si>
    <r>
      <rPr>
        <b val="true"/>
        <sz val="9"/>
        <rFont val="맑은 고딕"/>
        <family val="3"/>
        <charset val="129"/>
      </rPr>
      <t xml:space="preserve">D5 </t>
    </r>
    <r>
      <rPr>
        <b val="true"/>
        <sz val="9"/>
        <rFont val="WenQuanYi Zen Hei"/>
        <family val="2"/>
      </rPr>
      <t xml:space="preserve">해당없음</t>
    </r>
    <r>
      <rPr>
        <b val="true"/>
        <sz val="9"/>
        <rFont val="맑은 고딕"/>
        <family val="3"/>
        <charset val="129"/>
      </rPr>
      <t xml:space="preserve">(</t>
    </r>
    <r>
      <rPr>
        <b val="true"/>
        <sz val="9"/>
        <rFont val="WenQuanYi Zen Hei"/>
        <family val="2"/>
      </rPr>
      <t xml:space="preserve">제품 종결</t>
    </r>
    <r>
      <rPr>
        <b val="true"/>
        <sz val="9"/>
        <rFont val="맑은 고딕"/>
        <family val="3"/>
        <charset val="129"/>
      </rPr>
      <t xml:space="preserve">)</t>
    </r>
  </si>
  <si>
    <t xml:space="preserve">제품 단계에서 종결</t>
  </si>
  <si>
    <r>
      <rPr>
        <sz val="9"/>
        <rFont val="맑은 고딕"/>
        <family val="3"/>
        <charset val="129"/>
      </rPr>
      <t xml:space="preserve">F1 </t>
    </r>
    <r>
      <rPr>
        <sz val="9"/>
        <rFont val="WenQuanYi Zen Hei"/>
        <family val="2"/>
      </rPr>
      <t xml:space="preserve">또는 </t>
    </r>
    <r>
      <rPr>
        <sz val="9"/>
        <rFont val="맑은 고딕"/>
        <family val="3"/>
        <charset val="129"/>
      </rPr>
      <t xml:space="preserve">F3</t>
    </r>
    <r>
      <rPr>
        <sz val="9"/>
        <rFont val="WenQuanYi Zen Hei"/>
        <family val="2"/>
      </rPr>
      <t xml:space="preserve">으로 제품이 해결하여 </t>
    </r>
    <r>
      <rPr>
        <sz val="9"/>
        <rFont val="맑은 고딕"/>
        <family val="3"/>
        <charset val="129"/>
      </rPr>
      <t xml:space="preserve">SI </t>
    </r>
    <r>
      <rPr>
        <sz val="9"/>
        <rFont val="WenQuanYi Zen Hei"/>
        <family val="2"/>
      </rPr>
      <t xml:space="preserve">공수가 발생하지 않음</t>
    </r>
  </si>
  <si>
    <t xml:space="preserve">공수 0</t>
  </si>
  <si>
    <r>
      <rPr>
        <b val="true"/>
        <sz val="11"/>
        <color rgb="FFFFFFFF"/>
        <rFont val="맑은 고딕"/>
        <family val="3"/>
        <charset val="129"/>
      </rPr>
      <t xml:space="preserve">5. </t>
    </r>
    <r>
      <rPr>
        <b val="true"/>
        <sz val="11"/>
        <color rgb="FFFFFFFF"/>
        <rFont val="WenQuanYi Zen Hei"/>
        <family val="2"/>
      </rPr>
      <t xml:space="preserve">컬럼별 입력 규칙   </t>
    </r>
    <r>
      <rPr>
        <b val="true"/>
        <sz val="11"/>
        <color rgb="FFFFFFFF"/>
        <rFont val="맑은 고딕"/>
        <family val="3"/>
        <charset val="129"/>
      </rPr>
      <t xml:space="preserve">[③ </t>
    </r>
    <r>
      <rPr>
        <b val="true"/>
        <sz val="11"/>
        <color rgb="FFFFFFFF"/>
        <rFont val="WenQuanYi Zen Hei"/>
        <family val="2"/>
      </rPr>
      <t xml:space="preserve">요구사항 검토</t>
    </r>
    <r>
      <rPr>
        <b val="true"/>
        <sz val="11"/>
        <color rgb="FFFFFFFF"/>
        <rFont val="맑은 고딕"/>
        <family val="3"/>
        <charset val="129"/>
      </rPr>
      <t xml:space="preserve">]</t>
    </r>
  </si>
  <si>
    <t xml:space="preserve">컬럼</t>
  </si>
  <si>
    <t xml:space="preserve">입력 규칙</t>
  </si>
  <si>
    <t xml:space="preserve">요구사항 대분류</t>
  </si>
  <si>
    <t xml:space="preserve">영업(BD)</t>
  </si>
  <si>
    <t xml:space="preserve">시스템·기능 / 성능·품질 / 인터페이스 / 데이터 / 보안 / 테스트 / 제약 / 프로젝트관리 / 프로젝트지원</t>
  </si>
  <si>
    <t xml:space="preserve">드롭다운</t>
  </si>
  <si>
    <t xml:space="preserve">제안요청서 원문 ID를 그대로 사용 (예: SFR-001). 세부항목이 여러 행이면 동일 ID를 반복 기재</t>
  </si>
  <si>
    <t xml:space="preserve">요구사항 추적표와 정합성 확보</t>
  </si>
  <si>
    <t xml:space="preserve">세부항목 No.</t>
  </si>
  <si>
    <t xml:space="preserve">요구사항 상세 내용의 단락 순번 (1, 2, 3 …)</t>
  </si>
  <si>
    <t xml:space="preserve">★한 단락 = 한 행</t>
  </si>
  <si>
    <t xml:space="preserve">제안요청서 원문을 요약하지 말고 단락 그대로 전사. 수치·조건은 반드시 포함</t>
  </si>
  <si>
    <t xml:space="preserve">★판정의 근거가 되므로 임의 해석 금지</t>
  </si>
  <si>
    <t xml:space="preserve">공수 영업(BD) 사전산정</t>
  </si>
  <si>
    <r>
      <rPr>
        <sz val="9"/>
        <rFont val="맑은 고딕"/>
        <family val="3"/>
        <charset val="129"/>
      </rPr>
      <t xml:space="preserve">BD</t>
    </r>
    <r>
      <rPr>
        <sz val="9"/>
        <rFont val="WenQuanYi Zen Hei"/>
        <family val="2"/>
      </rPr>
      <t xml:space="preserve">가 자체 기준으로 사전 산정한 공수 </t>
    </r>
    <r>
      <rPr>
        <sz val="9"/>
        <rFont val="맑은 고딕"/>
        <family val="3"/>
        <charset val="129"/>
      </rPr>
      <t xml:space="preserve">(M/M). </t>
    </r>
    <r>
      <rPr>
        <sz val="9"/>
        <rFont val="WenQuanYi Zen Hei"/>
        <family val="2"/>
      </rPr>
      <t xml:space="preserve">요구사항 단위 산정이 어려우면 대표 행에 일괄 기재</t>
    </r>
  </si>
  <si>
    <t xml:space="preserve">★비교·검증 전용 — 확정 공수 합계에 합산되지 않음</t>
  </si>
  <si>
    <t xml:space="preserve">해당 세부항목의 제품 적합도를 판정한 그룹명. 제품과 무관하면 '해당없음'</t>
  </si>
  <si>
    <t xml:space="preserve">드롭다운 (6개 그룹)</t>
  </si>
  <si>
    <t xml:space="preserve">제품 적합도(Fit)</t>
  </si>
  <si>
    <r>
      <rPr>
        <sz val="9"/>
        <rFont val="맑은 고딕"/>
        <family val="3"/>
        <charset val="129"/>
      </rPr>
      <t xml:space="preserve">F1~F5 </t>
    </r>
    <r>
      <rPr>
        <sz val="9"/>
        <rFont val="WenQuanYi Zen Hei"/>
        <family val="2"/>
      </rPr>
      <t xml:space="preserve">중 선택 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위 </t>
    </r>
    <r>
      <rPr>
        <sz val="9"/>
        <rFont val="맑은 고딕"/>
        <family val="3"/>
        <charset val="129"/>
      </rPr>
      <t xml:space="preserve">3</t>
    </r>
    <r>
      <rPr>
        <sz val="9"/>
        <rFont val="WenQuanYi Zen Hei"/>
        <family val="2"/>
      </rPr>
      <t xml:space="preserve">항 참조</t>
    </r>
    <r>
      <rPr>
        <sz val="9"/>
        <rFont val="맑은 고딕"/>
        <family val="3"/>
        <charset val="129"/>
      </rPr>
      <t xml:space="preserve">)</t>
    </r>
  </si>
  <si>
    <r>
      <rPr>
        <sz val="9"/>
        <rFont val="맑은 고딕"/>
        <family val="3"/>
        <charset val="129"/>
      </rPr>
      <t xml:space="preserve">★Pre-VRB</t>
    </r>
    <r>
      <rPr>
        <sz val="9"/>
        <rFont val="WenQuanYi Zen Hei"/>
        <family val="2"/>
      </rPr>
      <t xml:space="preserve">의 </t>
    </r>
    <r>
      <rPr>
        <sz val="9"/>
        <rFont val="맑은 고딕"/>
        <family val="3"/>
        <charset val="129"/>
      </rPr>
      <t xml:space="preserve">1</t>
    </r>
    <r>
      <rPr>
        <sz val="9"/>
        <rFont val="WenQuanYi Zen Hei"/>
        <family val="2"/>
      </rPr>
      <t xml:space="preserve">차 판정</t>
    </r>
  </si>
  <si>
    <t xml:space="preserve">보유 제품·모듈명, 현재 지원 수준, 미지원 사유를 구체적으로 기재</t>
  </si>
  <si>
    <t xml:space="preserve">공수 연구소</t>
  </si>
  <si>
    <r>
      <rPr>
        <sz val="9"/>
        <rFont val="맑은 고딕"/>
        <family val="3"/>
        <charset val="129"/>
      </rPr>
      <t xml:space="preserve">F3(</t>
    </r>
    <r>
      <rPr>
        <sz val="9"/>
        <rFont val="WenQuanYi Zen Hei"/>
        <family val="2"/>
      </rPr>
      <t xml:space="preserve">제품 추가개발</t>
    </r>
    <r>
      <rPr>
        <sz val="9"/>
        <rFont val="맑은 고딕"/>
        <family val="3"/>
        <charset val="129"/>
      </rPr>
      <t xml:space="preserve">) </t>
    </r>
    <r>
      <rPr>
        <sz val="9"/>
        <rFont val="WenQuanYi Zen Hei"/>
        <family val="2"/>
      </rPr>
      <t xml:space="preserve">항목의 연구소 투입 공수 </t>
    </r>
    <r>
      <rPr>
        <sz val="9"/>
        <rFont val="맑은 고딕"/>
        <family val="3"/>
        <charset val="129"/>
      </rPr>
      <t xml:space="preserve">(M/M)</t>
    </r>
  </si>
  <si>
    <r>
      <rPr>
        <sz val="9"/>
        <rFont val="맑은 고딕"/>
        <family val="3"/>
        <charset val="129"/>
      </rPr>
      <t xml:space="preserve">F1·F2·F4·F5</t>
    </r>
    <r>
      <rPr>
        <sz val="9"/>
        <rFont val="WenQuanYi Zen Hei"/>
        <family val="2"/>
      </rPr>
      <t xml:space="preserve">는 </t>
    </r>
    <r>
      <rPr>
        <sz val="9"/>
        <rFont val="맑은 고딕"/>
        <family val="3"/>
        <charset val="129"/>
      </rPr>
      <t xml:space="preserve">0</t>
    </r>
  </si>
  <si>
    <t xml:space="preserve">현행 제품 적용 / 설정으로 대응 / 제품 로드맵 반영 / 제품 반영 계획 없음 / 해당없음</t>
  </si>
  <si>
    <t xml:space="preserve">제품화 전략과 연결</t>
  </si>
  <si>
    <r>
      <rPr>
        <sz val="9"/>
        <rFont val="맑은 고딕"/>
        <family val="3"/>
        <charset val="129"/>
      </rPr>
      <t xml:space="preserve">AI</t>
    </r>
    <r>
      <rPr>
        <sz val="9"/>
        <rFont val="WenQuanYi Zen Hei"/>
        <family val="2"/>
      </rPr>
      <t xml:space="preserve">사업부문</t>
    </r>
  </si>
  <si>
    <r>
      <rPr>
        <sz val="9"/>
        <rFont val="맑은 고딕"/>
        <family val="3"/>
        <charset val="129"/>
      </rPr>
      <t xml:space="preserve">D1~D5 </t>
    </r>
    <r>
      <rPr>
        <sz val="9"/>
        <rFont val="WenQuanYi Zen Hei"/>
        <family val="2"/>
      </rPr>
      <t xml:space="preserve">중 선택 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위 </t>
    </r>
    <r>
      <rPr>
        <sz val="9"/>
        <rFont val="맑은 고딕"/>
        <family val="3"/>
        <charset val="129"/>
      </rPr>
      <t xml:space="preserve">4</t>
    </r>
    <r>
      <rPr>
        <sz val="9"/>
        <rFont val="WenQuanYi Zen Hei"/>
        <family val="2"/>
      </rPr>
      <t xml:space="preserve">항 참조</t>
    </r>
    <r>
      <rPr>
        <sz val="9"/>
        <rFont val="맑은 고딕"/>
        <family val="3"/>
        <charset val="129"/>
      </rPr>
      <t xml:space="preserve">)</t>
    </r>
  </si>
  <si>
    <r>
      <rPr>
        <sz val="9"/>
        <rFont val="맑은 고딕"/>
        <family val="3"/>
        <charset val="129"/>
      </rPr>
      <t xml:space="preserve">★Fit </t>
    </r>
    <r>
      <rPr>
        <sz val="9"/>
        <rFont val="WenQuanYi Zen Hei"/>
        <family val="2"/>
      </rPr>
      <t xml:space="preserve">판정 결과를 확인한 뒤 입력</t>
    </r>
  </si>
  <si>
    <t xml:space="preserve">가능여부</t>
  </si>
  <si>
    <r>
      <rPr>
        <sz val="9"/>
        <rFont val="맑은 고딕"/>
        <family val="3"/>
        <charset val="129"/>
      </rPr>
      <t xml:space="preserve">O </t>
    </r>
    <r>
      <rPr>
        <sz val="9"/>
        <rFont val="WenQuanYi Zen Hei"/>
        <family val="2"/>
      </rPr>
      <t xml:space="preserve">가능 </t>
    </r>
    <r>
      <rPr>
        <sz val="9"/>
        <rFont val="맑은 고딕"/>
        <family val="3"/>
        <charset val="129"/>
      </rPr>
      <t xml:space="preserve">/ △ </t>
    </r>
    <r>
      <rPr>
        <sz val="9"/>
        <rFont val="WenQuanYi Zen Hei"/>
        <family val="2"/>
      </rPr>
      <t xml:space="preserve">조건부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협의 필요 </t>
    </r>
    <r>
      <rPr>
        <sz val="9"/>
        <rFont val="맑은 고딕"/>
        <family val="3"/>
        <charset val="129"/>
      </rPr>
      <t xml:space="preserve">/ X </t>
    </r>
    <r>
      <rPr>
        <sz val="9"/>
        <rFont val="WenQuanYi Zen Hei"/>
        <family val="2"/>
      </rPr>
      <t xml:space="preserve">불가</t>
    </r>
  </si>
  <si>
    <r>
      <rPr>
        <sz val="9"/>
        <rFont val="맑은 고딕"/>
        <family val="3"/>
        <charset val="129"/>
      </rPr>
      <t xml:space="preserve">X 1</t>
    </r>
    <r>
      <rPr>
        <sz val="9"/>
        <rFont val="WenQuanYi Zen Hei"/>
        <family val="2"/>
      </rPr>
      <t xml:space="preserve">건 이상이면 게이트 판정에 반영</t>
    </r>
  </si>
  <si>
    <t xml:space="preserve">산정 단위·기준·재사용 범위를 기재</t>
  </si>
  <si>
    <t xml:space="preserve">사후 검증 가능하도록 작성</t>
  </si>
  <si>
    <t xml:space="preserve">공수 AI사업부문</t>
  </si>
  <si>
    <t xml:space="preserve">수행부서(PM·AI기술팀·서비스개발팀·데이터구축팀) 자체 투입 공수 (M/M)</t>
  </si>
  <si>
    <t xml:space="preserve">공수 외주·협력사</t>
  </si>
  <si>
    <t xml:space="preserve">자체 인력으로 충당되지 않아 협력업체 외주용역으로 구성할 공수 (M/M)</t>
  </si>
  <si>
    <t xml:space="preserve">표지에서 외주 비중 자동 산출</t>
  </si>
  <si>
    <t xml:space="preserve">자체수행 / 외주(하도급) / 공동수급 / 상용SW 구매 / 발주처 제공 / 해당없음</t>
  </si>
  <si>
    <t xml:space="preserve">상용SW 구매는 손익 시나리오에 별도 반영</t>
  </si>
  <si>
    <t xml:space="preserve">공수 PM·PMO</t>
  </si>
  <si>
    <t xml:space="preserve">사업 관리·산출물·품질 활동에 투입되는 공수 (M/M). PM이 산정하고 PMO가 검증</t>
  </si>
  <si>
    <t xml:space="preserve">공수 합계 (확정)</t>
  </si>
  <si>
    <t xml:space="preserve">연구소 + AI사업부문 + 외주 + PM·PMO</t>
  </si>
  <si>
    <t xml:space="preserve">★영업(BD) 사전산정은 합산 제외</t>
  </si>
  <si>
    <r>
      <rPr>
        <b val="true"/>
        <sz val="9"/>
        <rFont val="맑은 고딕"/>
        <family val="3"/>
        <charset val="129"/>
      </rPr>
      <t xml:space="preserve">BD </t>
    </r>
    <r>
      <rPr>
        <b val="true"/>
        <sz val="9"/>
        <rFont val="WenQuanYi Zen Hei"/>
        <family val="2"/>
      </rPr>
      <t xml:space="preserve">사전산정 대비 증감</t>
    </r>
  </si>
  <si>
    <t xml:space="preserve">확정 공수 합계 − 영업(BD) 사전산정 공수</t>
  </si>
  <si>
    <t xml:space="preserve">차이가 큰 항목은 산정 근거를 상호 확인</t>
  </si>
  <si>
    <t xml:space="preserve">리스크 ID / 확인사항 ID</t>
  </si>
  <si>
    <t xml:space="preserve">「④ 리스크 레지스터」·「⑤ 확인사항·질의」의 ID를 기재 (예: R-01, Q-03)</t>
  </si>
  <si>
    <t xml:space="preserve">상세는 해당 시트에 작성</t>
  </si>
  <si>
    <r>
      <rPr>
        <b val="true"/>
        <sz val="9"/>
        <rFont val="맑은 고딕"/>
        <family val="3"/>
        <charset val="129"/>
      </rPr>
      <t xml:space="preserve">PM·PMO </t>
    </r>
    <r>
      <rPr>
        <b val="true"/>
        <sz val="9"/>
        <rFont val="WenQuanYi Zen Hei"/>
        <family val="2"/>
      </rPr>
      <t xml:space="preserve">종합의견 </t>
    </r>
    <r>
      <rPr>
        <b val="true"/>
        <sz val="9"/>
        <rFont val="맑은 고딕"/>
        <family val="3"/>
        <charset val="129"/>
      </rPr>
      <t xml:space="preserve">/ </t>
    </r>
    <r>
      <rPr>
        <b val="true"/>
        <sz val="9"/>
        <rFont val="WenQuanYi Zen Hei"/>
        <family val="2"/>
      </rPr>
      <t xml:space="preserve">비고</t>
    </r>
  </si>
  <si>
    <t xml:space="preserve">취합·조정 결과, 권고사항, 발주기관 확인 필요사항</t>
  </si>
  <si>
    <r>
      <rPr>
        <b val="true"/>
        <sz val="11"/>
        <color rgb="FFFFFFFF"/>
        <rFont val="맑은 고딕"/>
        <family val="3"/>
        <charset val="129"/>
      </rPr>
      <t xml:space="preserve">6. </t>
    </r>
    <r>
      <rPr>
        <b val="true"/>
        <sz val="11"/>
        <color rgb="FFFFFFFF"/>
        <rFont val="WenQuanYi Zen Hei"/>
        <family val="2"/>
      </rPr>
      <t xml:space="preserve">작성 시 유의사항</t>
    </r>
  </si>
  <si>
    <t xml:space="preserve">단락 분해 원칙</t>
  </si>
  <si>
    <t xml:space="preserve">제안요청서 한 항목에 여러 기능이 나열되어 있으면 반드시 행을 나눕니다. 한 행에 여러 기능이 섞이면 제품 적합도를 하나로 판정할 수 없어 공수 산정이 부정확해집니다.</t>
  </si>
  <si>
    <t xml:space="preserve">판정 순서 준수</t>
  </si>
  <si>
    <t xml:space="preserve">연구소의 Fit 판정이 끝나기 전에 사업부문이 공수를 산정하면 제품으로 해결될 항목까지 SI 공수로 잡히게 됩니다. 반드시 H~L 컬럼이 채워진 뒤 M~S를 작성합니다.</t>
  </si>
  <si>
    <t xml:space="preserve">중복 산정 금지</t>
  </si>
  <si>
    <t xml:space="preserve">각 부문은 자기 부문이 실제 투입할 공수만 산정합니다. 연구소 공수와 사업부문 공수를 같은 작업에 이중으로 계상하지 않습니다.</t>
  </si>
  <si>
    <t xml:space="preserve">외주 구성 기준</t>
  </si>
  <si>
    <t xml:space="preserve">수행부서의 가용 인력을 먼저 배정한 뒤 부족분을 외주로 기재합니다. 외주 비중은 「소프트웨어 진흥법」 제51조 및 하도급계획 적정성 평가와 직결됩니다.</t>
  </si>
  <si>
    <t xml:space="preserve">사전산정 대비 검증</t>
  </si>
  <si>
    <t xml:space="preserve">영업(BD) 사전산정 공수와 확정 공수의 차이가 큰 항목은 산정 근거를 상호 확인합니다. 통상 BD 사전산정은 투입 역할 단위 개략치이고 확정 산정은 액티비티 단위이므로, 인프라 구성·데이터 이행·교육·산출물 작성 등이 누락되어 확정치가 더 크게 나오는 경향이 있습니다.</t>
  </si>
  <si>
    <r>
      <rPr>
        <b val="true"/>
        <sz val="9"/>
        <rFont val="맑은 고딕"/>
        <family val="3"/>
        <charset val="129"/>
      </rPr>
      <t xml:space="preserve">PM </t>
    </r>
    <r>
      <rPr>
        <b val="true"/>
        <sz val="9"/>
        <rFont val="WenQuanYi Zen Hei"/>
        <family val="2"/>
      </rPr>
      <t xml:space="preserve">주관 </t>
    </r>
    <r>
      <rPr>
        <b val="true"/>
        <sz val="9"/>
        <rFont val="맑은 고딕"/>
        <family val="3"/>
        <charset val="129"/>
      </rPr>
      <t xml:space="preserve">· PMO </t>
    </r>
    <r>
      <rPr>
        <b val="true"/>
        <sz val="9"/>
        <rFont val="WenQuanYi Zen Hei"/>
        <family val="2"/>
      </rPr>
      <t xml:space="preserve">가이드</t>
    </r>
  </si>
  <si>
    <t xml:space="preserve">③시트의 판정·산정 결과는 배정된 PM이 주도적으로 검토하고 종합의견을 작성합니다. PMO는 산정 기준과 양식을 가이드하고 부문 간 중복·누락을 검증하는 역할입니다.</t>
  </si>
  <si>
    <r>
      <rPr>
        <b val="true"/>
        <sz val="9"/>
        <rFont val="맑은 고딕"/>
        <family val="3"/>
        <charset val="129"/>
      </rPr>
      <t xml:space="preserve">Pre-VRB </t>
    </r>
    <r>
      <rPr>
        <b val="true"/>
        <sz val="9"/>
        <rFont val="WenQuanYi Zen Hei"/>
        <family val="2"/>
      </rPr>
      <t xml:space="preserve">범위</t>
    </r>
  </si>
  <si>
    <t xml:space="preserve">이 단계에서는 사업 전반을 심의하지 않습니다. 제품으로 해결되지 않는 개발 범위와 그 공수·일정을 확정하는 것이 목적이며, 나머지 시트(②·④·⑤·⑥)는 그 판단을 뒷받침하는 보조 자료입니다.</t>
  </si>
  <si>
    <t xml:space="preserve">작성 예시 — 「③ 요구사항 검토」 작성 방법 (한국전력공사 AI 회의록 사업 실사례)</t>
  </si>
  <si>
    <t xml:space="preserve">동일 요구사항(SFR-003)이 세부항목 단위로 어떻게 분해되고, 제품 적합도에 따라 공수 귀속이 어떻게 달라지는지를 보여주는 예시입니다.</t>
  </si>
  <si>
    <t xml:space="preserve">공수
영업(BD)
사전산정</t>
  </si>
  <si>
    <t xml:space="preserve">공수
PM·PMO</t>
  </si>
  <si>
    <t xml:space="preserve">회의록시스템 - 회의 음성인식 기능</t>
  </si>
  <si>
    <t xml:space="preserve">파일 및 스트리밍 기반 준실시간 음성인식(STT)</t>
  </si>
  <si>
    <t xml:space="preserve">상</t>
  </si>
  <si>
    <t xml:space="preserve">음성그룹</t>
  </si>
  <si>
    <r>
      <rPr>
        <sz val="9"/>
        <rFont val="맑은 고딕"/>
        <family val="3"/>
        <charset val="129"/>
      </rPr>
      <t xml:space="preserve">F1 </t>
    </r>
    <r>
      <rPr>
        <sz val="9"/>
        <rFont val="WenQuanYi Zen Hei"/>
        <family val="2"/>
      </rPr>
      <t xml:space="preserve">제품 기본기능</t>
    </r>
  </si>
  <si>
    <r>
      <rPr>
        <sz val="9"/>
        <rFont val="맑은 고딕"/>
        <family val="3"/>
        <charset val="129"/>
      </rPr>
      <t xml:space="preserve">Konan STT </t>
    </r>
    <r>
      <rPr>
        <sz val="9"/>
        <rFont val="WenQuanYi Zen Hei"/>
        <family val="2"/>
      </rPr>
      <t xml:space="preserve">엔진 보유 — 핵심 기술 자산</t>
    </r>
  </si>
  <si>
    <t xml:space="preserve">현행 제품 적용</t>
  </si>
  <si>
    <r>
      <rPr>
        <sz val="9"/>
        <rFont val="맑은 고딕"/>
        <family val="3"/>
        <charset val="129"/>
      </rPr>
      <t xml:space="preserve">D1 </t>
    </r>
    <r>
      <rPr>
        <sz val="9"/>
        <rFont val="WenQuanYi Zen Hei"/>
        <family val="2"/>
      </rPr>
      <t xml:space="preserve">제품 활용 개발</t>
    </r>
  </si>
  <si>
    <t xml:space="preserve">O</t>
  </si>
  <si>
    <t xml:space="preserve">제품 STT API 호출 구조로 대응</t>
  </si>
  <si>
    <t xml:space="preserve">자체수행</t>
  </si>
  <si>
    <t xml:space="preserve">다중 음성 포맷 지원 (mp3/wav 등)</t>
  </si>
  <si>
    <t xml:space="preserve">제품 표준 지원 포맷</t>
  </si>
  <si>
    <r>
      <rPr>
        <sz val="9"/>
        <rFont val="맑은 고딕"/>
        <family val="3"/>
        <charset val="129"/>
      </rPr>
      <t xml:space="preserve">D5 </t>
    </r>
    <r>
      <rPr>
        <sz val="9"/>
        <rFont val="WenQuanYi Zen Hei"/>
        <family val="2"/>
      </rPr>
      <t xml:space="preserve">해당없음</t>
    </r>
    <r>
      <rPr>
        <sz val="9"/>
        <rFont val="맑은 고딕"/>
        <family val="3"/>
        <charset val="129"/>
      </rPr>
      <t xml:space="preserve">(</t>
    </r>
    <r>
      <rPr>
        <sz val="9"/>
        <rFont val="WenQuanYi Zen Hei"/>
        <family val="2"/>
      </rPr>
      <t xml:space="preserve">제품 종결</t>
    </r>
    <r>
      <rPr>
        <sz val="9"/>
        <rFont val="맑은 고딕"/>
        <family val="3"/>
        <charset val="129"/>
      </rPr>
      <t xml:space="preserve">)</t>
    </r>
  </si>
  <si>
    <t xml:space="preserve">하</t>
  </si>
  <si>
    <t xml:space="preserve">제품 기본기능으로 종결</t>
  </si>
  <si>
    <t xml:space="preserve">메신저형 UI로 인식 결과 표출</t>
  </si>
  <si>
    <t xml:space="preserve">솔루션개발그룹</t>
  </si>
  <si>
    <r>
      <rPr>
        <sz val="9"/>
        <rFont val="맑은 고딕"/>
        <family val="3"/>
        <charset val="129"/>
      </rPr>
      <t xml:space="preserve">OnNote </t>
    </r>
    <r>
      <rPr>
        <sz val="9"/>
        <rFont val="WenQuanYi Zen Hei"/>
        <family val="2"/>
      </rPr>
      <t xml:space="preserve">전사 뷰어 보유</t>
    </r>
  </si>
  <si>
    <t xml:space="preserve">제품 뷰어 컴포넌트에 고객 UI 스타일 적용</t>
  </si>
  <si>
    <r>
      <rPr>
        <sz val="9"/>
        <rFont val="맑은 고딕"/>
        <family val="3"/>
        <charset val="129"/>
      </rPr>
      <t xml:space="preserve">ITN — </t>
    </r>
    <r>
      <rPr>
        <sz val="9"/>
        <rFont val="WenQuanYi Zen Hei"/>
        <family val="2"/>
      </rPr>
      <t xml:space="preserve">숫자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금액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지번의 아라비아 표기 변환</t>
    </r>
  </si>
  <si>
    <r>
      <rPr>
        <sz val="9"/>
        <rFont val="맑은 고딕"/>
        <family val="3"/>
        <charset val="129"/>
      </rPr>
      <t xml:space="preserve">F3 </t>
    </r>
    <r>
      <rPr>
        <sz val="9"/>
        <rFont val="WenQuanYi Zen Hei"/>
        <family val="2"/>
      </rPr>
      <t xml:space="preserve">제품 추가개발</t>
    </r>
  </si>
  <si>
    <t xml:space="preserve">기존 ITN 모듈 보유하나 전력·행정 도메인 표기 규칙 개선 필요</t>
  </si>
  <si>
    <t xml:space="preserve">제품 로드맵 반영 (공통 개선)</t>
  </si>
  <si>
    <t xml:space="preserve">연구소 제품 개선으로 종결 — SI 공수 없음</t>
  </si>
  <si>
    <t xml:space="preserve">회의록시스템 - 회의록 초안 작성 기능</t>
  </si>
  <si>
    <t xml:space="preserve">회의유형별 템플릿 자동생성 — 표준서식·문서구조 원문 반영, 레이아웃 100% 유지</t>
  </si>
  <si>
    <r>
      <rPr>
        <sz val="9"/>
        <rFont val="맑은 고딕"/>
        <family val="3"/>
        <charset val="129"/>
      </rPr>
      <t xml:space="preserve">F4 </t>
    </r>
    <r>
      <rPr>
        <sz val="9"/>
        <rFont val="WenQuanYi Zen Hei"/>
        <family val="2"/>
      </rPr>
      <t xml:space="preserve">제품 미지원</t>
    </r>
    <r>
      <rPr>
        <sz val="9"/>
        <rFont val="맑은 고딕"/>
        <family val="3"/>
        <charset val="129"/>
      </rPr>
      <t xml:space="preserve">(SI </t>
    </r>
    <r>
      <rPr>
        <sz val="9"/>
        <rFont val="WenQuanYi Zen Hei"/>
        <family val="2"/>
      </rPr>
      <t xml:space="preserve">대상</t>
    </r>
    <r>
      <rPr>
        <sz val="9"/>
        <rFont val="맑은 고딕"/>
        <family val="3"/>
        <charset val="129"/>
      </rPr>
      <t xml:space="preserve">)</t>
    </r>
  </si>
  <si>
    <r>
      <rPr>
        <sz val="9"/>
        <rFont val="맑은 고딕"/>
        <family val="3"/>
        <charset val="129"/>
      </rPr>
      <t xml:space="preserve">'</t>
    </r>
    <r>
      <rPr>
        <sz val="9"/>
        <rFont val="WenQuanYi Zen Hei"/>
        <family val="2"/>
      </rPr>
      <t xml:space="preserve">레이아웃 </t>
    </r>
    <r>
      <rPr>
        <sz val="9"/>
        <rFont val="맑은 고딕"/>
        <family val="3"/>
        <charset val="129"/>
      </rPr>
      <t xml:space="preserve">100% </t>
    </r>
    <r>
      <rPr>
        <sz val="9"/>
        <rFont val="WenQuanYi Zen Hei"/>
        <family val="2"/>
      </rPr>
      <t xml:space="preserve">유지</t>
    </r>
    <r>
      <rPr>
        <sz val="9"/>
        <rFont val="맑은 고딕"/>
        <family val="3"/>
        <charset val="129"/>
      </rPr>
      <t xml:space="preserve">'</t>
    </r>
    <r>
      <rPr>
        <sz val="9"/>
        <rFont val="WenQuanYi Zen Hei"/>
        <family val="2"/>
      </rPr>
      <t xml:space="preserve">는 제품 템플릿 엔진 범위 초과</t>
    </r>
  </si>
  <si>
    <t xml:space="preserve">제품 반영 계획 없음</t>
  </si>
  <si>
    <r>
      <rPr>
        <sz val="9"/>
        <rFont val="맑은 고딕"/>
        <family val="3"/>
        <charset val="129"/>
      </rPr>
      <t xml:space="preserve">D2 </t>
    </r>
    <r>
      <rPr>
        <sz val="9"/>
        <rFont val="WenQuanYi Zen Hei"/>
        <family val="2"/>
      </rPr>
      <t xml:space="preserve">커스터마이징 신규개발</t>
    </r>
    <r>
      <rPr>
        <sz val="9"/>
        <rFont val="맑은 고딕"/>
        <family val="3"/>
        <charset val="129"/>
      </rPr>
      <t xml:space="preserve">(SI)</t>
    </r>
  </si>
  <si>
    <t xml:space="preserve">△</t>
  </si>
  <si>
    <t xml:space="preserve">상용 웹오피스 SDK 연계 기반 템플릿 엔진 신규 개발</t>
  </si>
  <si>
    <t xml:space="preserve">상용SW 구매</t>
  </si>
  <si>
    <t xml:space="preserve">전용 스크립트 인터페이스 제공</t>
  </si>
  <si>
    <t xml:space="preserve">제품 스크립트 뷰 보유</t>
  </si>
  <si>
    <t xml:space="preserve">제품 기능 활용</t>
  </si>
  <si>
    <t xml:space="preserve">회의록시스템 - 내부시스템 연계기능</t>
  </si>
  <si>
    <t xml:space="preserve">인사정보 연동 — 조직도 동기화, 열람권한 4단계(개인→부서→처실→전사)</t>
  </si>
  <si>
    <t xml:space="preserve">고객사 고유 인사체계 연동으로 제품 범위 밖</t>
  </si>
  <si>
    <r>
      <rPr>
        <sz val="9"/>
        <rFont val="맑은 고딕"/>
        <family val="3"/>
        <charset val="129"/>
      </rPr>
      <t xml:space="preserve">D3 </t>
    </r>
    <r>
      <rPr>
        <sz val="9"/>
        <rFont val="WenQuanYi Zen Hei"/>
        <family val="2"/>
      </rPr>
      <t xml:space="preserve">연계 개발</t>
    </r>
  </si>
  <si>
    <t xml:space="preserve">인사 API 연계 어댑터 + 4단계 권한 모델 신규 설계</t>
  </si>
  <si>
    <t xml:space="preserve">외주(하도급)</t>
  </si>
  <si>
    <r>
      <rPr>
        <b val="true"/>
        <sz val="10"/>
        <color rgb="FF1F3864"/>
        <rFont val="맑은 고딕"/>
        <family val="3"/>
        <charset val="129"/>
      </rPr>
      <t xml:space="preserve">[</t>
    </r>
    <r>
      <rPr>
        <b val="true"/>
        <sz val="10"/>
        <color rgb="FF1F3864"/>
        <rFont val="WenQuanYi Zen Hei"/>
        <family val="2"/>
      </rPr>
      <t xml:space="preserve">읽는 법</t>
    </r>
    <r>
      <rPr>
        <b val="true"/>
        <sz val="10"/>
        <color rgb="FF1F3864"/>
        <rFont val="맑은 고딕"/>
        <family val="3"/>
        <charset val="129"/>
      </rPr>
      <t xml:space="preserve">]</t>
    </r>
  </si>
  <si>
    <r>
      <rPr>
        <sz val="9"/>
        <rFont val="맑은 고딕"/>
        <family val="3"/>
        <charset val="129"/>
      </rPr>
      <t xml:space="preserve">① 1~4</t>
    </r>
    <r>
      <rPr>
        <sz val="9"/>
        <rFont val="WenQuanYi Zen Hei"/>
        <family val="2"/>
      </rPr>
      <t xml:space="preserve">행은 하나의 요구사항</t>
    </r>
    <r>
      <rPr>
        <sz val="9"/>
        <rFont val="맑은 고딕"/>
        <family val="3"/>
        <charset val="129"/>
      </rPr>
      <t xml:space="preserve">(SFR-003 </t>
    </r>
    <r>
      <rPr>
        <sz val="9"/>
        <rFont val="WenQuanYi Zen Hei"/>
        <family val="2"/>
      </rPr>
      <t xml:space="preserve">회의 음성인식 기능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을 세부항목 단위로 나눈 것입니다</t>
    </r>
    <r>
      <rPr>
        <sz val="9"/>
        <rFont val="맑은 고딕"/>
        <family val="3"/>
        <charset val="129"/>
      </rPr>
      <t xml:space="preserve">. </t>
    </r>
    <r>
      <rPr>
        <sz val="9"/>
        <rFont val="WenQuanYi Zen Hei"/>
        <family val="2"/>
      </rPr>
      <t xml:space="preserve">같은 요구사항이라도 세부항목마다 제품 적합도가 다릅니다</t>
    </r>
    <r>
      <rPr>
        <sz val="9"/>
        <rFont val="맑은 고딕"/>
        <family val="3"/>
        <charset val="129"/>
      </rPr>
      <t xml:space="preserve">.</t>
    </r>
  </si>
  <si>
    <r>
      <rPr>
        <sz val="9"/>
        <rFont val="맑은 고딕"/>
        <family val="3"/>
        <charset val="129"/>
      </rPr>
      <t xml:space="preserve">② 1·2</t>
    </r>
    <r>
      <rPr>
        <sz val="9"/>
        <rFont val="WenQuanYi Zen Hei"/>
        <family val="2"/>
      </rPr>
      <t xml:space="preserve">행은 </t>
    </r>
    <r>
      <rPr>
        <sz val="9"/>
        <rFont val="맑은 고딕"/>
        <family val="3"/>
        <charset val="129"/>
      </rPr>
      <t xml:space="preserve">F1(</t>
    </r>
    <r>
      <rPr>
        <sz val="9"/>
        <rFont val="WenQuanYi Zen Hei"/>
        <family val="2"/>
      </rPr>
      <t xml:space="preserve">제품 기본기능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이므로 연구소 공수도 </t>
    </r>
    <r>
      <rPr>
        <sz val="9"/>
        <rFont val="맑은 고딕"/>
        <family val="3"/>
        <charset val="129"/>
      </rPr>
      <t xml:space="preserve">0, </t>
    </r>
    <r>
      <rPr>
        <sz val="9"/>
        <rFont val="WenQuanYi Zen Hei"/>
        <family val="2"/>
      </rPr>
      <t xml:space="preserve">사업부문 공수도 </t>
    </r>
    <r>
      <rPr>
        <sz val="9"/>
        <rFont val="맑은 고딕"/>
        <family val="3"/>
        <charset val="129"/>
      </rPr>
      <t xml:space="preserve">0</t>
    </r>
    <r>
      <rPr>
        <sz val="9"/>
        <rFont val="WenQuanYi Zen Hei"/>
        <family val="2"/>
      </rPr>
      <t xml:space="preserve">입니다</t>
    </r>
    <r>
      <rPr>
        <sz val="9"/>
        <rFont val="맑은 고딕"/>
        <family val="3"/>
        <charset val="129"/>
      </rPr>
      <t xml:space="preserve">. </t>
    </r>
    <r>
      <rPr>
        <sz val="9"/>
        <rFont val="WenQuanYi Zen Hei"/>
        <family val="2"/>
      </rPr>
      <t xml:space="preserve">제품이 그대로 해결하는 영역입니다</t>
    </r>
    <r>
      <rPr>
        <sz val="9"/>
        <rFont val="맑은 고딕"/>
        <family val="3"/>
        <charset val="129"/>
      </rPr>
      <t xml:space="preserve">.</t>
    </r>
  </si>
  <si>
    <r>
      <rPr>
        <sz val="9"/>
        <rFont val="맑은 고딕"/>
        <family val="3"/>
        <charset val="129"/>
      </rPr>
      <t xml:space="preserve">③ 4</t>
    </r>
    <r>
      <rPr>
        <sz val="9"/>
        <rFont val="WenQuanYi Zen Hei"/>
        <family val="2"/>
      </rPr>
      <t xml:space="preserve">행은 </t>
    </r>
    <r>
      <rPr>
        <sz val="9"/>
        <rFont val="맑은 고딕"/>
        <family val="3"/>
        <charset val="129"/>
      </rPr>
      <t xml:space="preserve">F3(</t>
    </r>
    <r>
      <rPr>
        <sz val="9"/>
        <rFont val="WenQuanYi Zen Hei"/>
        <family val="2"/>
      </rPr>
      <t xml:space="preserve">제품 추가개발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이므로 연구소 공수만 </t>
    </r>
    <r>
      <rPr>
        <sz val="9"/>
        <rFont val="맑은 고딕"/>
        <family val="3"/>
        <charset val="129"/>
      </rPr>
      <t xml:space="preserve">1.0MM </t>
    </r>
    <r>
      <rPr>
        <sz val="9"/>
        <rFont val="WenQuanYi Zen Hei"/>
        <family val="2"/>
      </rPr>
      <t xml:space="preserve">발생하고 사업부문 공수는 </t>
    </r>
    <r>
      <rPr>
        <sz val="9"/>
        <rFont val="맑은 고딕"/>
        <family val="3"/>
        <charset val="129"/>
      </rPr>
      <t xml:space="preserve">0</t>
    </r>
    <r>
      <rPr>
        <sz val="9"/>
        <rFont val="WenQuanYi Zen Hei"/>
        <family val="2"/>
      </rPr>
      <t xml:space="preserve">입니다</t>
    </r>
    <r>
      <rPr>
        <sz val="9"/>
        <rFont val="맑은 고딕"/>
        <family val="3"/>
        <charset val="129"/>
      </rPr>
      <t xml:space="preserve">. </t>
    </r>
    <r>
      <rPr>
        <sz val="9"/>
        <rFont val="WenQuanYi Zen Hei"/>
        <family val="2"/>
      </rPr>
      <t xml:space="preserve">제품 로드맵에 반영되는 개선입니다</t>
    </r>
    <r>
      <rPr>
        <sz val="9"/>
        <rFont val="맑은 고딕"/>
        <family val="3"/>
        <charset val="129"/>
      </rPr>
      <t xml:space="preserve">.</t>
    </r>
  </si>
  <si>
    <r>
      <rPr>
        <sz val="9"/>
        <rFont val="맑은 고딕"/>
        <family val="3"/>
        <charset val="129"/>
      </rPr>
      <t xml:space="preserve">④ 5·6</t>
    </r>
    <r>
      <rPr>
        <sz val="9"/>
        <rFont val="WenQuanYi Zen Hei"/>
        <family val="2"/>
      </rPr>
      <t xml:space="preserve">행</t>
    </r>
    <r>
      <rPr>
        <sz val="9"/>
        <rFont val="맑은 고딕"/>
        <family val="3"/>
        <charset val="129"/>
      </rPr>
      <t xml:space="preserve">(SFR-005)</t>
    </r>
    <r>
      <rPr>
        <sz val="9"/>
        <rFont val="WenQuanYi Zen Hei"/>
        <family val="2"/>
      </rPr>
      <t xml:space="preserve">은 </t>
    </r>
    <r>
      <rPr>
        <sz val="9"/>
        <rFont val="맑은 고딕"/>
        <family val="3"/>
        <charset val="129"/>
      </rPr>
      <t xml:space="preserve">F4(</t>
    </r>
    <r>
      <rPr>
        <sz val="9"/>
        <rFont val="WenQuanYi Zen Hei"/>
        <family val="2"/>
      </rPr>
      <t xml:space="preserve">제품 미지원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이므로 연구소 공수는 </t>
    </r>
    <r>
      <rPr>
        <sz val="9"/>
        <rFont val="맑은 고딕"/>
        <family val="3"/>
        <charset val="129"/>
      </rPr>
      <t xml:space="preserve">0</t>
    </r>
    <r>
      <rPr>
        <sz val="9"/>
        <rFont val="WenQuanYi Zen Hei"/>
        <family val="2"/>
      </rPr>
      <t xml:space="preserve">이고 사업부문</t>
    </r>
    <r>
      <rPr>
        <sz val="9"/>
        <rFont val="맑은 고딕"/>
        <family val="3"/>
        <charset val="129"/>
      </rPr>
      <t xml:space="preserve">·</t>
    </r>
    <r>
      <rPr>
        <sz val="9"/>
        <rFont val="WenQuanYi Zen Hei"/>
        <family val="2"/>
      </rPr>
      <t xml:space="preserve">외주 공수가 발생합니다</t>
    </r>
    <r>
      <rPr>
        <sz val="9"/>
        <rFont val="맑은 고딕"/>
        <family val="3"/>
        <charset val="129"/>
      </rPr>
      <t xml:space="preserve">. </t>
    </r>
    <r>
      <rPr>
        <sz val="9"/>
        <rFont val="WenQuanYi Zen Hei"/>
        <family val="2"/>
      </rPr>
      <t xml:space="preserve">커스터마이징 신규개발</t>
    </r>
    <r>
      <rPr>
        <sz val="9"/>
        <rFont val="맑은 고딕"/>
        <family val="3"/>
        <charset val="129"/>
      </rPr>
      <t xml:space="preserve">(SI) </t>
    </r>
    <r>
      <rPr>
        <sz val="9"/>
        <rFont val="WenQuanYi Zen Hei"/>
        <family val="2"/>
      </rPr>
      <t xml:space="preserve">영역입니다</t>
    </r>
    <r>
      <rPr>
        <sz val="9"/>
        <rFont val="맑은 고딕"/>
        <family val="3"/>
        <charset val="129"/>
      </rPr>
      <t xml:space="preserve">.</t>
    </r>
  </si>
  <si>
    <r>
      <rPr>
        <sz val="9"/>
        <rFont val="맑은 고딕"/>
        <family val="3"/>
        <charset val="129"/>
      </rPr>
      <t xml:space="preserve">⑤ 7</t>
    </r>
    <r>
      <rPr>
        <sz val="9"/>
        <rFont val="WenQuanYi Zen Hei"/>
        <family val="2"/>
      </rPr>
      <t xml:space="preserve">행</t>
    </r>
    <r>
      <rPr>
        <sz val="9"/>
        <rFont val="맑은 고딕"/>
        <family val="3"/>
        <charset val="129"/>
      </rPr>
      <t xml:space="preserve">(SFR-002)</t>
    </r>
    <r>
      <rPr>
        <sz val="9"/>
        <rFont val="WenQuanYi Zen Hei"/>
        <family val="2"/>
      </rPr>
      <t xml:space="preserve">은 타 시스템 연동으로 </t>
    </r>
    <r>
      <rPr>
        <sz val="9"/>
        <rFont val="맑은 고딕"/>
        <family val="3"/>
        <charset val="129"/>
      </rPr>
      <t xml:space="preserve">D3(</t>
    </r>
    <r>
      <rPr>
        <sz val="9"/>
        <rFont val="WenQuanYi Zen Hei"/>
        <family val="2"/>
      </rPr>
      <t xml:space="preserve">연계 개발</t>
    </r>
    <r>
      <rPr>
        <sz val="9"/>
        <rFont val="맑은 고딕"/>
        <family val="3"/>
        <charset val="129"/>
      </rPr>
      <t xml:space="preserve">)</t>
    </r>
    <r>
      <rPr>
        <sz val="9"/>
        <rFont val="WenQuanYi Zen Hei"/>
        <family val="2"/>
      </rPr>
      <t xml:space="preserve">에 해당하며</t>
    </r>
    <r>
      <rPr>
        <sz val="9"/>
        <rFont val="맑은 고딕"/>
        <family val="3"/>
        <charset val="129"/>
      </rPr>
      <t xml:space="preserve">, </t>
    </r>
    <r>
      <rPr>
        <sz val="9"/>
        <rFont val="WenQuanYi Zen Hei"/>
        <family val="2"/>
      </rPr>
      <t xml:space="preserve">자체 </t>
    </r>
    <r>
      <rPr>
        <sz val="9"/>
        <rFont val="맑은 고딕"/>
        <family val="3"/>
        <charset val="129"/>
      </rPr>
      <t xml:space="preserve">0.12MM + </t>
    </r>
    <r>
      <rPr>
        <sz val="9"/>
        <rFont val="WenQuanYi Zen Hei"/>
        <family val="2"/>
      </rPr>
      <t xml:space="preserve">외주 </t>
    </r>
    <r>
      <rPr>
        <sz val="9"/>
        <rFont val="맑은 고딕"/>
        <family val="3"/>
        <charset val="129"/>
      </rPr>
      <t xml:space="preserve">0.84MM</t>
    </r>
    <r>
      <rPr>
        <sz val="9"/>
        <rFont val="WenQuanYi Zen Hei"/>
        <family val="2"/>
      </rPr>
      <t xml:space="preserve">으로 나누어 산정했습니다</t>
    </r>
    <r>
      <rPr>
        <sz val="9"/>
        <rFont val="맑은 고딕"/>
        <family val="3"/>
        <charset val="129"/>
      </rPr>
      <t xml:space="preserve">.</t>
    </r>
  </si>
  <si>
    <r>
      <rPr>
        <b val="true"/>
        <sz val="12"/>
        <rFont val="WenQuanYi Zen Hei"/>
        <family val="2"/>
      </rPr>
      <t xml:space="preserve">타 작성본</t>
    </r>
    <r>
      <rPr>
        <b val="true"/>
        <sz val="12"/>
        <rFont val="Cambria"/>
        <family val="0"/>
        <charset val="1"/>
      </rPr>
      <t xml:space="preserve">(Pre-VRB … v0.1_260921) </t>
    </r>
    <r>
      <rPr>
        <b val="true"/>
        <sz val="12"/>
        <rFont val="WenQuanYi Zen Hei"/>
        <family val="2"/>
      </rPr>
      <t xml:space="preserve">대비 변동사항</t>
    </r>
  </si>
  <si>
    <r>
      <rPr>
        <sz val="11"/>
        <color theme="1"/>
        <rFont val="WenQuanYi Zen Hei"/>
        <family val="2"/>
      </rPr>
      <t xml:space="preserve">노란색</t>
    </r>
    <r>
      <rPr>
        <sz val="11"/>
        <color theme="1"/>
        <rFont val="Calibri"/>
        <family val="2"/>
        <charset val="1"/>
      </rPr>
      <t xml:space="preserve">(FFFF00) </t>
    </r>
    <r>
      <rPr>
        <sz val="11"/>
        <color theme="1"/>
        <rFont val="WenQuanYi Zen Hei"/>
        <family val="2"/>
      </rPr>
      <t xml:space="preserve">셀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타 작성본과 내용이 다른 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각 셀 메모에 타 작성본 내용 기재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WenQuanYi Zen Hei"/>
        <family val="2"/>
      </rPr>
      <t xml:space="preserve">서식</t>
    </r>
    <r>
      <rPr>
        <sz val="11"/>
        <color theme="1"/>
        <rFont val="Calibri"/>
        <family val="2"/>
        <charset val="1"/>
      </rPr>
      <t xml:space="preserve">(o</t>
    </r>
    <r>
      <rPr>
        <sz val="11"/>
        <color theme="1"/>
        <rFont val="WenQuanYi Zen Hei"/>
        <family val="2"/>
      </rPr>
      <t xml:space="preserve">기호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줄바꿈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공백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차이는 제외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양식 기본 입력셀의 연노랑</t>
    </r>
    <r>
      <rPr>
        <sz val="11"/>
        <color theme="1"/>
        <rFont val="Calibri"/>
        <family val="2"/>
        <charset val="1"/>
      </rPr>
      <t xml:space="preserve">(FFF2CC)</t>
    </r>
    <r>
      <rPr>
        <sz val="11"/>
        <color theme="1"/>
        <rFont val="WenQuanYi Zen Hei"/>
        <family val="2"/>
      </rPr>
      <t xml:space="preserve">과 구분됩니다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</si>
  <si>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WenQuanYi Zen Hei"/>
        <family val="2"/>
      </rPr>
      <t xml:space="preserve">※ 공통 참고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타 작성본은 「</t>
    </r>
    <r>
      <rPr>
        <sz val="11"/>
        <color theme="1"/>
        <rFont val="Calibri"/>
        <family val="2"/>
        <charset val="1"/>
      </rPr>
      <t xml:space="preserve">RFP </t>
    </r>
    <r>
      <rPr>
        <sz val="11"/>
        <color theme="1"/>
        <rFont val="WenQuanYi Zen Hei"/>
        <family val="2"/>
      </rPr>
      <t xml:space="preserve">초안」 기준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예산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입찰방식 미기재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일반경쟁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이며</t>
    </r>
    <r>
      <rPr>
        <sz val="11"/>
        <color theme="1"/>
        <rFont val="Calibri"/>
        <family val="2"/>
        <charset val="1"/>
      </rPr>
      <t xml:space="preserve">, Claude </t>
    </r>
    <r>
      <rPr>
        <sz val="11"/>
        <color theme="1"/>
        <rFont val="WenQuanYi Zen Hei"/>
        <family val="2"/>
      </rPr>
      <t xml:space="preserve">작성본은 수령 </t>
    </r>
    <r>
      <rPr>
        <sz val="11"/>
        <color theme="1"/>
        <rFont val="Calibri"/>
        <family val="2"/>
        <charset val="1"/>
      </rPr>
      <t xml:space="preserve">PDF(</t>
    </r>
    <r>
      <rPr>
        <sz val="11"/>
        <color theme="1"/>
        <rFont val="WenQuanYi Zen Hei"/>
        <family val="2"/>
      </rPr>
      <t xml:space="preserve">제한경쟁</t>
    </r>
    <r>
      <rPr>
        <sz val="11"/>
        <color theme="1"/>
        <rFont val="Calibri"/>
        <family val="2"/>
        <charset val="1"/>
      </rPr>
      <t xml:space="preserve">, 894,116,348</t>
    </r>
    <r>
      <rPr>
        <sz val="11"/>
        <color theme="1"/>
        <rFont val="WenQuanYi Zen Hei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기준입니다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또한 타 작성본은 양식 </t>
    </r>
    <r>
      <rPr>
        <sz val="11"/>
        <color theme="1"/>
        <rFont val="Calibri"/>
        <family val="2"/>
        <charset val="1"/>
      </rPr>
      <t xml:space="preserve">V2.0(③</t>
    </r>
    <r>
      <rPr>
        <sz val="11"/>
        <color theme="1"/>
        <rFont val="WenQuanYi Zen Hei"/>
        <family val="2"/>
      </rPr>
      <t xml:space="preserve">시트 공수 컬럼 </t>
    </r>
    <r>
      <rPr>
        <sz val="11"/>
        <color theme="1"/>
        <rFont val="Calibri"/>
        <family val="2"/>
        <charset val="1"/>
      </rPr>
      <t xml:space="preserve">Q~U </t>
    </r>
    <r>
      <rPr>
        <sz val="11"/>
        <color theme="1"/>
        <rFont val="WenQuanYi Zen Hei"/>
        <family val="2"/>
      </rPr>
      <t xml:space="preserve">신설</t>
    </r>
    <r>
      <rPr>
        <sz val="11"/>
        <color theme="1"/>
        <rFont val="Calibri"/>
        <family val="2"/>
        <charset val="1"/>
      </rPr>
      <t xml:space="preserve">, ③-1 </t>
    </r>
    <r>
      <rPr>
        <sz val="11"/>
        <color theme="1"/>
        <rFont val="WenQuanYi Zen Hei"/>
        <family val="2"/>
      </rPr>
      <t xml:space="preserve">비율 산정 시트 추가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을 사용합니다</t>
    </r>
    <r>
      <rPr>
        <sz val="11"/>
        <color theme="1"/>
        <rFont val="Calibri"/>
        <family val="2"/>
        <charset val="1"/>
      </rPr>
      <t xml:space="preserve">.</t>
    </r>
  </si>
  <si>
    <t xml:space="preserve">No</t>
  </si>
  <si>
    <t xml:space="preserve">시트</t>
  </si>
  <si>
    <t xml:space="preserve">셀</t>
  </si>
  <si>
    <r>
      <rPr>
        <b val="true"/>
        <sz val="11"/>
        <color rgb="FFFFFFFF"/>
        <rFont val="Cambria"/>
        <family val="0"/>
        <charset val="1"/>
      </rPr>
      <t xml:space="preserve">Claude </t>
    </r>
    <r>
      <rPr>
        <b val="true"/>
        <sz val="11"/>
        <color rgb="FFFFFFFF"/>
        <rFont val="WenQuanYi Zen Hei"/>
        <family val="2"/>
      </rPr>
      <t xml:space="preserve">작성본</t>
    </r>
  </si>
  <si>
    <r>
      <rPr>
        <b val="true"/>
        <sz val="11"/>
        <color rgb="FFFFFFFF"/>
        <rFont val="WenQuanYi Zen Hei"/>
        <family val="2"/>
      </rPr>
      <t xml:space="preserve">타 작성본</t>
    </r>
    <r>
      <rPr>
        <b val="true"/>
        <sz val="11"/>
        <color rgb="FFFFFFFF"/>
        <rFont val="Cambria"/>
        <family val="0"/>
        <charset val="1"/>
      </rPr>
      <t xml:space="preserve">(v0.1)</t>
    </r>
  </si>
  <si>
    <t xml:space="preserve">③ 요구사항 검토</t>
  </si>
  <si>
    <t xml:space="preserve">F29</t>
  </si>
  <si>
    <t xml:space="preserve">③ 상세내용 차이</t>
  </si>
  <si>
    <r>
      <rPr>
        <sz val="9"/>
        <rFont val="WenQuanYi Zen Hei"/>
        <family val="2"/>
      </rPr>
      <t xml:space="preserve">◦ 업무 수행 시 사용자의 데이터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지식 및 시스템 접근권한을 준수하여야 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업무 특성상 필요한 경우 사용자의 확인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승인을 거쳐 후속 업무가 수행될 수 있도록 구현하여야 함
   ※ 업무별 특화 </t>
    </r>
    <r>
      <rPr>
        <sz val="9"/>
        <rFont val="맑은 고딕"/>
        <family val="0"/>
        <charset val="1"/>
      </rPr>
      <t xml:space="preserve">AI Agent </t>
    </r>
    <r>
      <rPr>
        <sz val="9"/>
        <rFont val="WenQuanYi Zen Hei"/>
        <family val="2"/>
      </rPr>
      <t xml:space="preserve">구현 예시
  │ </t>
    </r>
    <r>
      <rPr>
        <sz val="9"/>
        <rFont val="맑은 고딕"/>
        <family val="0"/>
        <charset val="1"/>
      </rPr>
      <t xml:space="preserve">Agent </t>
    </r>
    <r>
      <rPr>
        <sz val="9"/>
        <rFont val="WenQuanYi Zen Hei"/>
        <family val="2"/>
      </rPr>
      <t xml:space="preserve">예시 │ 주요 구현내용
  │ 법률자문 업무지원 </t>
    </r>
    <r>
      <rPr>
        <sz val="9"/>
        <rFont val="맑은 고딕"/>
        <family val="0"/>
        <charset val="1"/>
      </rPr>
      <t xml:space="preserve">Agent │ ▪ </t>
    </r>
    <r>
      <rPr>
        <sz val="9"/>
        <rFont val="WenQuanYi Zen Hei"/>
        <family val="2"/>
      </rPr>
      <t xml:space="preserve">사내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외 법률자문 자료와 외부 법령정보 </t>
    </r>
    <r>
      <rPr>
        <sz val="9"/>
        <rFont val="맑은 고딕"/>
        <family val="0"/>
        <charset val="1"/>
      </rPr>
      <t xml:space="preserve">API</t>
    </r>
    <r>
      <rPr>
        <sz val="9"/>
        <rFont val="WenQuanYi Zen Hei"/>
        <family val="2"/>
      </rPr>
      <t xml:space="preserve">를 활용하여 관련 정보를 검색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분석하고 법률자문 답변 초안을 지정된 </t>
    </r>
    <r>
      <rPr>
        <sz val="9"/>
        <rFont val="맑은 고딕"/>
        <family val="0"/>
        <charset val="1"/>
      </rPr>
      <t xml:space="preserve">HWP </t>
    </r>
    <r>
      <rPr>
        <sz val="9"/>
        <rFont val="WenQuanYi Zen Hei"/>
        <family val="2"/>
      </rPr>
      <t xml:space="preserve">양식으로 생성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전달
  │ 전자결재 문서검색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분석 </t>
    </r>
    <r>
      <rPr>
        <sz val="9"/>
        <rFont val="맑은 고딕"/>
        <family val="0"/>
        <charset val="1"/>
      </rPr>
      <t xml:space="preserve">Agent │ ▪ </t>
    </r>
    <r>
      <rPr>
        <sz val="9"/>
        <rFont val="WenQuanYi Zen Hei"/>
        <family val="2"/>
      </rPr>
      <t xml:space="preserve">사용자의 문서 조회권한 범위 내에서 관련 전자결재 문서를 검색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요약하고 문서번호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제목 등 주요 정보와 원문을 일괄 제공
  │ 공사설계 업무지원 </t>
    </r>
    <r>
      <rPr>
        <sz val="9"/>
        <rFont val="맑은 고딕"/>
        <family val="0"/>
        <charset val="1"/>
      </rPr>
      <t xml:space="preserve">Agent │ ▪ </t>
    </r>
    <r>
      <rPr>
        <sz val="9"/>
        <rFont val="WenQuanYi Zen Hei"/>
        <family val="2"/>
      </rPr>
      <t xml:space="preserve">표준품셈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노임단가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제경비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물가정보 등 내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외부 데이터를 활용하여 필요 정보를 검색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분석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산출하고 설계서 초안을 지정된 형식으로 생성
  │ </t>
    </r>
    <r>
      <rPr>
        <sz val="9"/>
        <rFont val="맑은 고딕"/>
        <family val="0"/>
        <charset val="1"/>
      </rPr>
      <t xml:space="preserve">AI </t>
    </r>
    <r>
      <rPr>
        <sz val="9"/>
        <rFont val="WenQuanYi Zen Hei"/>
        <family val="2"/>
      </rPr>
      <t xml:space="preserve">회의록 </t>
    </r>
    <r>
      <rPr>
        <sz val="9"/>
        <rFont val="맑은 고딕"/>
        <family val="0"/>
        <charset val="1"/>
      </rPr>
      <t xml:space="preserve">Agent │ ▪ </t>
    </r>
    <r>
      <rPr>
        <sz val="9"/>
        <rFont val="WenQuanYi Zen Hei"/>
        <family val="2"/>
      </rPr>
      <t xml:space="preserve">회의 음성을 </t>
    </r>
    <r>
      <rPr>
        <sz val="9"/>
        <rFont val="맑은 고딕"/>
        <family val="0"/>
        <charset val="1"/>
      </rPr>
      <t xml:space="preserve">STT</t>
    </r>
    <r>
      <rPr>
        <sz val="9"/>
        <rFont val="WenQuanYi Zen Hei"/>
        <family val="2"/>
      </rPr>
      <t xml:space="preserve">로 변환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분석하여 주요 논의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결정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조치사항을 정리하고 회의록을 지정된 </t>
    </r>
    <r>
      <rPr>
        <sz val="9"/>
        <rFont val="맑은 고딕"/>
        <family val="0"/>
        <charset val="1"/>
      </rPr>
      <t xml:space="preserve">HWP </t>
    </r>
    <r>
      <rPr>
        <sz val="9"/>
        <rFont val="WenQuanYi Zen Hei"/>
        <family val="2"/>
      </rPr>
      <t xml:space="preserve">양식으로 생성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전달
  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상기 사례는 </t>
    </r>
    <r>
      <rPr>
        <sz val="9"/>
        <rFont val="맑은 고딕"/>
        <family val="0"/>
        <charset val="1"/>
      </rPr>
      <t xml:space="preserve">AI Agent</t>
    </r>
    <r>
      <rPr>
        <sz val="9"/>
        <rFont val="WenQuanYi Zen Hei"/>
        <family val="2"/>
      </rPr>
      <t xml:space="preserve">의 구현 수준 및 방향에 대한 예시이며 실제 구축 대상업무 및 세부 구현범위는 현업 요구사항 분석 등을 통해 발주기관과 협의하여 확정한다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</si>
  <si>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[4] </t>
    </r>
    <r>
      <rPr>
        <sz val="9"/>
        <rFont val="WenQuanYi Zen Hei"/>
        <family val="2"/>
      </rPr>
      <t xml:space="preserve">업무 수행 시 사용자의 데이터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지식 및 시스템 접근권한을 준수하여야 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업무 특성상 필요한 경우 사용자의 확인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승인을 거쳐 후속 업무가 수행될 수 있도록 구현하여야 함</t>
    </r>
  </si>
  <si>
    <r>
      <rPr>
        <sz val="9"/>
        <rFont val="WenQuanYi Zen Hei"/>
        <family val="2"/>
      </rPr>
      <t xml:space="preserve">타 자료는 </t>
    </r>
    <r>
      <rPr>
        <sz val="9"/>
        <rFont val="맑은 고딕"/>
        <family val="0"/>
        <charset val="1"/>
      </rPr>
      <t xml:space="preserve">Agent </t>
    </r>
    <r>
      <rPr>
        <sz val="9"/>
        <rFont val="WenQuanYi Zen Hei"/>
        <family val="2"/>
      </rPr>
      <t xml:space="preserve">구현 예시 표</t>
    </r>
    <r>
      <rPr>
        <sz val="9"/>
        <rFont val="맑은 고딕"/>
        <family val="0"/>
        <charset val="1"/>
      </rPr>
      <t xml:space="preserve">(※)</t>
    </r>
    <r>
      <rPr>
        <sz val="9"/>
        <rFont val="WenQuanYi Zen Hei"/>
        <family val="2"/>
      </rPr>
      <t xml:space="preserve">를 별도 세부항목</t>
    </r>
    <r>
      <rPr>
        <sz val="9"/>
        <rFont val="맑은 고딕"/>
        <family val="0"/>
        <charset val="1"/>
      </rPr>
      <t xml:space="preserve">(5</t>
    </r>
    <r>
      <rPr>
        <sz val="9"/>
        <rFont val="WenQuanYi Zen Hei"/>
        <family val="2"/>
      </rPr>
      <t xml:space="preserve">번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분리</t>
    </r>
    <r>
      <rPr>
        <sz val="9"/>
        <rFont val="맑은 고딕"/>
        <family val="0"/>
        <charset val="1"/>
      </rPr>
      <t xml:space="preserve">. Claude </t>
    </r>
    <r>
      <rPr>
        <sz val="9"/>
        <rFont val="WenQuanYi Zen Hei"/>
        <family val="2"/>
      </rPr>
      <t xml:space="preserve">자료는 </t>
    </r>
    <r>
      <rPr>
        <sz val="9"/>
        <rFont val="맑은 고딕"/>
        <family val="0"/>
        <charset val="1"/>
      </rPr>
      <t xml:space="preserve">4</t>
    </r>
    <r>
      <rPr>
        <sz val="9"/>
        <rFont val="WenQuanYi Zen Hei"/>
        <family val="2"/>
      </rPr>
      <t xml:space="preserve">번 항목 하위로 포함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표는 </t>
    </r>
    <r>
      <rPr>
        <sz val="9"/>
        <rFont val="맑은 고딕"/>
        <family val="0"/>
        <charset val="1"/>
      </rPr>
      <t xml:space="preserve">o</t>
    </r>
    <r>
      <rPr>
        <sz val="9"/>
        <rFont val="WenQuanYi Zen Hei"/>
        <family val="2"/>
      </rPr>
      <t xml:space="preserve">로 시작하지 않으므로 분할 안 함</t>
    </r>
    <r>
      <rPr>
        <sz val="9"/>
        <rFont val="맑은 고딕"/>
        <family val="0"/>
        <charset val="1"/>
      </rPr>
      <t xml:space="preserve">)</t>
    </r>
  </si>
  <si>
    <t xml:space="preserve">C26</t>
  </si>
  <si>
    <t xml:space="preserve">③ 세부항목 수 차이</t>
  </si>
  <si>
    <t xml:space="preserve">4</t>
  </si>
  <si>
    <t xml:space="preserve">5</t>
  </si>
  <si>
    <t xml:space="preserve">F148</t>
  </si>
  <si>
    <r>
      <rPr>
        <sz val="9"/>
        <rFont val="맑은 고딕"/>
        <family val="0"/>
        <charset val="1"/>
      </rPr>
      <t xml:space="preserve">[1] </t>
    </r>
    <r>
      <rPr>
        <sz val="9"/>
        <rFont val="WenQuanYi Zen Hei"/>
        <family val="2"/>
      </rPr>
      <t xml:space="preserve">본 사업을 효과적으로 수행하기 위한 추진조직 및 지원조직 구성계획을</t>
    </r>
  </si>
  <si>
    <r>
      <rPr>
        <sz val="9"/>
        <rFont val="WenQuanYi Zen Hei"/>
        <family val="2"/>
      </rPr>
      <t xml:space="preserve">타 자료는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번 문장을 줄바꿈 위치에서 두 행</t>
    </r>
    <r>
      <rPr>
        <sz val="9"/>
        <rFont val="맑은 고딕"/>
        <family val="0"/>
        <charset val="1"/>
      </rPr>
      <t xml:space="preserve">(1·2</t>
    </r>
    <r>
      <rPr>
        <sz val="9"/>
        <rFont val="WenQuanYi Zen Hei"/>
        <family val="2"/>
      </rPr>
      <t xml:space="preserve">번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잘못 분할 → 이후 번호가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씩 밀림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총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개</t>
    </r>
    <r>
      <rPr>
        <sz val="9"/>
        <rFont val="맑은 고딕"/>
        <family val="0"/>
        <charset val="1"/>
      </rPr>
      <t xml:space="preserve">). </t>
    </r>
    <r>
      <rPr>
        <sz val="9"/>
        <rFont val="WenQuanYi Zen Hei"/>
        <family val="2"/>
      </rPr>
      <t xml:space="preserve">원문 기준 </t>
    </r>
    <r>
      <rPr>
        <sz val="9"/>
        <rFont val="맑은 고딕"/>
        <family val="0"/>
        <charset val="1"/>
      </rPr>
      <t xml:space="preserve">o </t>
    </r>
    <r>
      <rPr>
        <sz val="9"/>
        <rFont val="WenQuanYi Zen Hei"/>
        <family val="2"/>
      </rPr>
      <t xml:space="preserve">항목은 </t>
    </r>
    <r>
      <rPr>
        <sz val="9"/>
        <rFont val="맑은 고딕"/>
        <family val="0"/>
        <charset val="1"/>
      </rPr>
      <t xml:space="preserve">4</t>
    </r>
    <r>
      <rPr>
        <sz val="9"/>
        <rFont val="WenQuanYi Zen Hei"/>
        <family val="2"/>
      </rPr>
      <t xml:space="preserve">개</t>
    </r>
  </si>
  <si>
    <t xml:space="preserve">F149</t>
  </si>
  <si>
    <r>
      <rPr>
        <sz val="9"/>
        <rFont val="WenQuanYi Zen Hei"/>
        <family val="2"/>
      </rPr>
      <t xml:space="preserve">◦ 사업관리자</t>
    </r>
    <r>
      <rPr>
        <sz val="9"/>
        <rFont val="맑은 고딕"/>
        <family val="0"/>
        <charset val="1"/>
      </rPr>
      <t xml:space="preserve">(PM)</t>
    </r>
    <r>
      <rPr>
        <sz val="9"/>
        <rFont val="WenQuanYi Zen Hei"/>
        <family val="2"/>
      </rPr>
      <t xml:space="preserve">는 반드시 주사업자 소속으로 일정 수준 이상 직급의 직원으로서 본 사업을 총괄할 수 있는 경험이 있는 전문 인력이어야 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사업기간 동안 상주가 가능하여야 함</t>
    </r>
  </si>
  <si>
    <r>
      <rPr>
        <sz val="9"/>
        <rFont val="맑은 고딕"/>
        <family val="0"/>
        <charset val="1"/>
      </rPr>
      <t xml:space="preserve">[2] </t>
    </r>
    <r>
      <rPr>
        <sz val="9"/>
        <rFont val="WenQuanYi Zen Hei"/>
        <family val="2"/>
      </rPr>
      <t xml:space="preserve">명확하게 제시하여야 함</t>
    </r>
  </si>
  <si>
    <t xml:space="preserve">F150</t>
  </si>
  <si>
    <r>
      <rPr>
        <sz val="9"/>
        <rFont val="WenQuanYi Zen Hei"/>
        <family val="2"/>
      </rPr>
      <t xml:space="preserve">◦ 인력교체 필요 시 인력교체 전에 대체인력을 투입하여야 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인력교체기간 동안 발생하는 업무의 안정화 및 품질저하 방지 대책을 제시하여야 함</t>
    </r>
  </si>
  <si>
    <r>
      <rPr>
        <sz val="9"/>
        <rFont val="맑은 고딕"/>
        <family val="0"/>
        <charset val="1"/>
      </rPr>
      <t xml:space="preserve">[3] </t>
    </r>
    <r>
      <rPr>
        <sz val="9"/>
        <rFont val="WenQuanYi Zen Hei"/>
        <family val="2"/>
      </rPr>
      <t xml:space="preserve">사업관리자</t>
    </r>
    <r>
      <rPr>
        <sz val="9"/>
        <rFont val="맑은 고딕"/>
        <family val="0"/>
        <charset val="1"/>
      </rPr>
      <t xml:space="preserve">(PM)</t>
    </r>
    <r>
      <rPr>
        <sz val="9"/>
        <rFont val="WenQuanYi Zen Hei"/>
        <family val="2"/>
      </rPr>
      <t xml:space="preserve">는 반드시 주사업자 소속으로 일정 수준 이상 직급의 직원으로서 본 사업을 총괄할 수 있는 경험이 있는 전문 인력이어야 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사업기간 동안 상주가 가능하여야 함</t>
    </r>
  </si>
  <si>
    <t xml:space="preserve">F151</t>
  </si>
  <si>
    <r>
      <rPr>
        <sz val="9"/>
        <rFont val="맑은 고딕"/>
        <family val="0"/>
        <charset val="1"/>
      </rPr>
      <t xml:space="preserve">[4] </t>
    </r>
    <r>
      <rPr>
        <sz val="9"/>
        <rFont val="WenQuanYi Zen Hei"/>
        <family val="2"/>
      </rPr>
      <t xml:space="preserve">인력교체 필요 시 인력교체 전에 대체인력을 투입하여야 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인력교체기간 동안 발생하는 업무의 안정화 및 품질저하 방지 대책을 제시하여야 함</t>
    </r>
  </si>
  <si>
    <t xml:space="preserve">C148</t>
  </si>
  <si>
    <t xml:space="preserve">F166</t>
  </si>
  <si>
    <r>
      <rPr>
        <sz val="9"/>
        <rFont val="WenQuanYi Zen Hei"/>
        <family val="2"/>
      </rPr>
      <t xml:space="preserve">◦ 원활한 사업추진을 위해 보고회를 개최하여야 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보고 시 도출된 문제점은 즉시 수정 보완하여야 한다</t>
    </r>
    <r>
      <rPr>
        <sz val="9"/>
        <rFont val="맑은 고딕"/>
        <family val="0"/>
        <charset val="1"/>
      </rPr>
      <t xml:space="preserve">.
  │ </t>
    </r>
    <r>
      <rPr>
        <sz val="9"/>
        <rFont val="WenQuanYi Zen Hei"/>
        <family val="2"/>
      </rPr>
      <t xml:space="preserve">구 분 │ 보고명 │ 보고내용 │ 시 기
  │ 정기보고 │ 주간보고 │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진도관리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계획대비 실적</t>
    </r>
    <r>
      <rPr>
        <sz val="9"/>
        <rFont val="맑은 고딕"/>
        <family val="0"/>
        <charset val="1"/>
      </rPr>
      <t xml:space="preserve">) / - </t>
    </r>
    <r>
      <rPr>
        <sz val="9"/>
        <rFont val="WenQuanYi Zen Hei"/>
        <family val="2"/>
      </rPr>
      <t xml:space="preserve">문제점 보고 및 특이사항 </t>
    </r>
    <r>
      <rPr>
        <sz val="9"/>
        <rFont val="맑은 고딕"/>
        <family val="0"/>
        <charset val="1"/>
      </rPr>
      <t xml:space="preserve">/ - </t>
    </r>
    <r>
      <rPr>
        <sz val="9"/>
        <rFont val="WenQuanYi Zen Hei"/>
        <family val="2"/>
      </rPr>
      <t xml:space="preserve">진척률 및 차주계획 │ 매주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협의결정</t>
    </r>
    <r>
      <rPr>
        <sz val="9"/>
        <rFont val="맑은 고딕"/>
        <family val="0"/>
        <charset val="1"/>
      </rPr>
      <t xml:space="preserve">)
  │ </t>
    </r>
    <r>
      <rPr>
        <sz val="9"/>
        <rFont val="WenQuanYi Zen Hei"/>
        <family val="2"/>
      </rPr>
      <t xml:space="preserve">비정기보고 │ 착수보고 │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사업 추진전략 및 세부 진행계획 보고 </t>
    </r>
    <r>
      <rPr>
        <sz val="9"/>
        <rFont val="맑은 고딕"/>
        <family val="0"/>
        <charset val="1"/>
      </rPr>
      <t xml:space="preserve">/ - </t>
    </r>
    <r>
      <rPr>
        <sz val="9"/>
        <rFont val="WenQuanYi Zen Hei"/>
        <family val="2"/>
      </rPr>
      <t xml:space="preserve">업무분장 및 협조사항 요청 │ 협의
  │  │ 중간보고 │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개발상황 및 현안 보고 │ 
  │  │ 완료보고 │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개발결과 보고 │ 
  │  │ 수시보고 │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이슈사항 및 문제점 협의 등 │ </t>
    </r>
  </si>
  <si>
    <r>
      <rPr>
        <sz val="9"/>
        <rFont val="맑은 고딕"/>
        <family val="0"/>
        <charset val="1"/>
      </rPr>
      <t xml:space="preserve">[1] </t>
    </r>
    <r>
      <rPr>
        <sz val="9"/>
        <rFont val="WenQuanYi Zen Hei"/>
        <family val="2"/>
      </rPr>
      <t xml:space="preserve">원활한 사업추진을 위해 보고회를 개최하여야 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보고 시 도출된 문제점은 즉시 수정 보완하여야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</si>
  <si>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타 자료는 보고 체계 표를 별도 세부항목</t>
    </r>
    <r>
      <rPr>
        <sz val="9"/>
        <rFont val="맑은 고딕"/>
        <family val="0"/>
        <charset val="1"/>
      </rPr>
      <t xml:space="preserve">(2</t>
    </r>
    <r>
      <rPr>
        <sz val="9"/>
        <rFont val="WenQuanYi Zen Hei"/>
        <family val="2"/>
      </rPr>
      <t xml:space="preserve">번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분리</t>
    </r>
    <r>
      <rPr>
        <sz val="9"/>
        <rFont val="맑은 고딕"/>
        <family val="0"/>
        <charset val="1"/>
      </rPr>
      <t xml:space="preserve">. Claude </t>
    </r>
    <r>
      <rPr>
        <sz val="9"/>
        <rFont val="WenQuanYi Zen Hei"/>
        <family val="2"/>
      </rPr>
      <t xml:space="preserve">자료는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번 항목 하위로 포함</t>
    </r>
  </si>
  <si>
    <t xml:space="preserve">C166</t>
  </si>
  <si>
    <t xml:space="preserve">1</t>
  </si>
  <si>
    <t xml:space="preserve">2</t>
  </si>
  <si>
    <t xml:space="preserve">F167</t>
  </si>
  <si>
    <r>
      <rPr>
        <sz val="9"/>
        <rFont val="WenQuanYi Zen Hei"/>
        <family val="2"/>
      </rPr>
      <t xml:space="preserve">◦ 각 산출물은 해당 단계에 따라 제출하여야 함
  │ 구 분 │ 시 기 │ 수 량
  │ 착수계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착수보고서 │ 계약 후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일 이내 │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부
  │ 사업수행 계획서 │ 계약 후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일 이내 │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부
  │ 보안서약서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대표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투입인력</t>
    </r>
    <r>
      <rPr>
        <sz val="9"/>
        <rFont val="맑은 고딕"/>
        <family val="0"/>
        <charset val="1"/>
      </rPr>
      <t xml:space="preserve">) │ </t>
    </r>
    <r>
      <rPr>
        <sz val="9"/>
        <rFont val="WenQuanYi Zen Hei"/>
        <family val="2"/>
      </rPr>
      <t xml:space="preserve">계약 후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일 이내 │ 대상자별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부
  │ 개인정보 수집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이용 동의서 │ 계약 후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일 이내 │ 각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부
  │ 요구사항 정의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분석서 │ 별도협의 │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부
  │ 시스템 구성도 및 </t>
    </r>
    <r>
      <rPr>
        <sz val="9"/>
        <rFont val="맑은 고딕"/>
        <family val="0"/>
        <charset val="1"/>
      </rPr>
      <t xml:space="preserve">AI </t>
    </r>
    <r>
      <rPr>
        <sz val="9"/>
        <rFont val="WenQuanYi Zen Hei"/>
        <family val="2"/>
      </rPr>
      <t xml:space="preserve">서비스 아키텍처 │ 설계 완료 후 │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부
  │ 시스템</t>
    </r>
    <r>
      <rPr>
        <sz val="9"/>
        <rFont val="맑은 고딕"/>
        <family val="0"/>
        <charset val="1"/>
      </rPr>
      <t xml:space="preserve">·API </t>
    </r>
    <r>
      <rPr>
        <sz val="9"/>
        <rFont val="WenQuanYi Zen Hei"/>
        <family val="2"/>
      </rPr>
      <t xml:space="preserve">연계 설계서 │ 설계 완료 후 │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부
  │ 업무별 특화 </t>
    </r>
    <r>
      <rPr>
        <sz val="9"/>
        <rFont val="맑은 고딕"/>
        <family val="0"/>
        <charset val="1"/>
      </rPr>
      <t xml:space="preserve">AI Agent </t>
    </r>
    <r>
      <rPr>
        <sz val="9"/>
        <rFont val="WenQuanYi Zen Hei"/>
        <family val="2"/>
      </rPr>
      <t xml:space="preserve">설계서 │ 설계 완료 후 │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부
  │ </t>
    </r>
    <r>
      <rPr>
        <sz val="9"/>
        <rFont val="맑은 고딕"/>
        <family val="0"/>
        <charset val="1"/>
      </rPr>
      <t xml:space="preserve">MCP Gateway </t>
    </r>
    <r>
      <rPr>
        <sz val="9"/>
        <rFont val="WenQuanYi Zen Hei"/>
        <family val="2"/>
      </rPr>
      <t xml:space="preserve">및 </t>
    </r>
    <r>
      <rPr>
        <sz val="9"/>
        <rFont val="맑은 고딕"/>
        <family val="0"/>
        <charset val="1"/>
      </rPr>
      <t xml:space="preserve">Tool </t>
    </r>
    <r>
      <rPr>
        <sz val="9"/>
        <rFont val="WenQuanYi Zen Hei"/>
        <family val="2"/>
      </rPr>
      <t xml:space="preserve">연계 명세서 │ 설계 완료 후 │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부
  │ </t>
    </r>
    <r>
      <rPr>
        <sz val="9"/>
        <rFont val="맑은 고딕"/>
        <family val="0"/>
        <charset val="1"/>
      </rPr>
      <t xml:space="preserve">RAG </t>
    </r>
    <r>
      <rPr>
        <sz val="9"/>
        <rFont val="WenQuanYi Zen Hei"/>
        <family val="2"/>
      </rPr>
      <t xml:space="preserve">지식데이터 구축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처리 내역서 │ 구축 완료 후 │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부
  │ 테스트 계획서 │ 테스트 전 │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부
  │ 테스트 결과서 │ 테스트 완료 후 │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부
  │ </t>
    </r>
    <r>
      <rPr>
        <sz val="9"/>
        <rFont val="맑은 고딕"/>
        <family val="0"/>
        <charset val="1"/>
      </rPr>
      <t xml:space="preserve">AI </t>
    </r>
    <r>
      <rPr>
        <sz val="9"/>
        <rFont val="WenQuanYi Zen Hei"/>
        <family val="2"/>
      </rPr>
      <t xml:space="preserve">서비스 성능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품질 검증 결과서 │ 테스트 완료 후 │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부
  │ </t>
    </r>
    <r>
      <rPr>
        <sz val="9"/>
        <rFont val="맑은 고딕"/>
        <family val="0"/>
        <charset val="1"/>
      </rPr>
      <t xml:space="preserve">NPU </t>
    </r>
    <r>
      <rPr>
        <sz val="9"/>
        <rFont val="WenQuanYi Zen Hei"/>
        <family val="2"/>
      </rPr>
      <t xml:space="preserve">기반 음성 </t>
    </r>
    <r>
      <rPr>
        <sz val="9"/>
        <rFont val="맑은 고딕"/>
        <family val="0"/>
        <charset val="1"/>
      </rPr>
      <t xml:space="preserve">AI </t>
    </r>
    <r>
      <rPr>
        <sz val="9"/>
        <rFont val="WenQuanYi Zen Hei"/>
        <family val="2"/>
      </rPr>
      <t xml:space="preserve">성능검증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실증 결과서 │ 테스트 완료 후 │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부
  │ 취약점 조치결과 보고서 │ 조치 완료 후 │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부
  │ 작업진척 보고서 │ 주간 또는 수시 │ </t>
    </r>
    <r>
      <rPr>
        <sz val="9"/>
        <rFont val="맑은 고딕"/>
        <family val="0"/>
        <charset val="1"/>
      </rPr>
      <t xml:space="preserve">-
  │ </t>
    </r>
    <r>
      <rPr>
        <sz val="9"/>
        <rFont val="WenQuanYi Zen Hei"/>
        <family val="2"/>
      </rPr>
      <t xml:space="preserve">회의록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업무협의서 │ 발생 시 │ </t>
    </r>
    <r>
      <rPr>
        <sz val="9"/>
        <rFont val="맑은 고딕"/>
        <family val="0"/>
        <charset val="1"/>
      </rPr>
      <t xml:space="preserve">-
  │ </t>
    </r>
    <r>
      <rPr>
        <sz val="9"/>
        <rFont val="WenQuanYi Zen Hei"/>
        <family val="2"/>
      </rPr>
      <t xml:space="preserve">완료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최종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보고서 │ 최종 완료 시 │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부
  │ 관리자 지침서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설치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운영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및 교육교재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매뉴얼</t>
    </r>
    <r>
      <rPr>
        <sz val="9"/>
        <rFont val="맑은 고딕"/>
        <family val="0"/>
        <charset val="1"/>
      </rPr>
      <t xml:space="preserve">) │ </t>
    </r>
    <r>
      <rPr>
        <sz val="9"/>
        <rFont val="WenQuanYi Zen Hei"/>
        <family val="2"/>
      </rPr>
      <t xml:space="preserve">최종 완료 시 │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부
   ※ 기타 표기되지 않은 산출물은 제안요청 또는 계약상대자 제안서 내용을 근거로 제출하여야 한다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별도 협의</t>
    </r>
    <r>
      <rPr>
        <sz val="9"/>
        <rFont val="맑은 고딕"/>
        <family val="0"/>
        <charset val="1"/>
      </rPr>
      <t xml:space="preserve">)
   ※ </t>
    </r>
    <r>
      <rPr>
        <sz val="9"/>
        <rFont val="WenQuanYi Zen Hei"/>
        <family val="2"/>
      </rPr>
      <t xml:space="preserve">산출물의 세부 구성과 제출시기는 사업수행 과정에서 발주기관과 협의하여 조정할 수 있으며 사업수행에 따른 변경사항을 반영하여 시스템 구성도</t>
    </r>
    <r>
      <rPr>
        <sz val="9"/>
        <rFont val="맑은 고딕"/>
        <family val="0"/>
        <charset val="1"/>
      </rPr>
      <t xml:space="preserve">, AI </t>
    </r>
    <r>
      <rPr>
        <sz val="9"/>
        <rFont val="WenQuanYi Zen Hei"/>
        <family val="2"/>
      </rPr>
      <t xml:space="preserve">서비스 아키텍처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시스템 간 연계구성 등 주요 기술문서를 최종 현행호하여 제출하여야 함</t>
    </r>
  </si>
  <si>
    <r>
      <rPr>
        <sz val="9"/>
        <rFont val="맑은 고딕"/>
        <family val="0"/>
        <charset val="1"/>
      </rPr>
      <t xml:space="preserve">[1] </t>
    </r>
    <r>
      <rPr>
        <sz val="9"/>
        <rFont val="WenQuanYi Zen Hei"/>
        <family val="2"/>
      </rPr>
      <t xml:space="preserve">각 산출물은 해당 단계에 따라 제출하여야 함</t>
    </r>
  </si>
  <si>
    <r>
      <rPr>
        <sz val="9"/>
        <rFont val="WenQuanYi Zen Hei"/>
        <family val="2"/>
      </rPr>
      <t xml:space="preserve">타 자료는 산출물 표를 별도 세부항목</t>
    </r>
    <r>
      <rPr>
        <sz val="9"/>
        <rFont val="맑은 고딕"/>
        <family val="0"/>
        <charset val="1"/>
      </rPr>
      <t xml:space="preserve">(2</t>
    </r>
    <r>
      <rPr>
        <sz val="9"/>
        <rFont val="WenQuanYi Zen Hei"/>
        <family val="2"/>
      </rPr>
      <t xml:space="preserve">번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분리했으며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표 내용이 수령 </t>
    </r>
    <r>
      <rPr>
        <sz val="9"/>
        <rFont val="맑은 고딕"/>
        <family val="0"/>
        <charset val="1"/>
      </rPr>
      <t xml:space="preserve">PDF</t>
    </r>
    <r>
      <rPr>
        <sz val="9"/>
        <rFont val="WenQuanYi Zen Hei"/>
        <family val="2"/>
      </rPr>
      <t xml:space="preserve">와 다름</t>
    </r>
    <r>
      <rPr>
        <sz val="9"/>
        <rFont val="맑은 고딕"/>
        <family val="0"/>
        <charset val="1"/>
      </rPr>
      <t xml:space="preserve">(RPA </t>
    </r>
    <r>
      <rPr>
        <sz val="9"/>
        <rFont val="WenQuanYi Zen Hei"/>
        <family val="2"/>
      </rPr>
      <t xml:space="preserve">스크립트 목록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성과측정 결과 분석보고서 등 포함</t>
    </r>
    <r>
      <rPr>
        <sz val="9"/>
        <rFont val="맑은 고딕"/>
        <family val="0"/>
        <charset val="1"/>
      </rPr>
      <t xml:space="preserve">, AI Agent </t>
    </r>
    <r>
      <rPr>
        <sz val="9"/>
        <rFont val="WenQuanYi Zen Hei"/>
        <family val="2"/>
      </rPr>
      <t xml:space="preserve">설계서</t>
    </r>
    <r>
      <rPr>
        <sz val="9"/>
        <rFont val="맑은 고딕"/>
        <family val="0"/>
        <charset val="1"/>
      </rPr>
      <t xml:space="preserve">·MCP </t>
    </r>
    <r>
      <rPr>
        <sz val="9"/>
        <rFont val="WenQuanYi Zen Hei"/>
        <family val="2"/>
      </rPr>
      <t xml:space="preserve">명세서 등 없음</t>
    </r>
    <r>
      <rPr>
        <sz val="9"/>
        <rFont val="맑은 고딕"/>
        <family val="0"/>
        <charset val="1"/>
      </rPr>
      <t xml:space="preserve">) → RFP </t>
    </r>
    <r>
      <rPr>
        <sz val="9"/>
        <rFont val="WenQuanYi Zen Hei"/>
        <family val="2"/>
      </rPr>
      <t xml:space="preserve">초안과 본 </t>
    </r>
    <r>
      <rPr>
        <sz val="9"/>
        <rFont val="맑은 고딕"/>
        <family val="0"/>
        <charset val="1"/>
      </rPr>
      <t xml:space="preserve">RFP </t>
    </r>
    <r>
      <rPr>
        <sz val="9"/>
        <rFont val="WenQuanYi Zen Hei"/>
        <family val="2"/>
      </rPr>
      <t xml:space="preserve">버전 차이로 추정</t>
    </r>
  </si>
  <si>
    <t xml:space="preserve">C167</t>
  </si>
  <si>
    <t xml:space="preserve">F212</t>
  </si>
  <si>
    <r>
      <rPr>
        <sz val="9"/>
        <rFont val="WenQuanYi Zen Hei"/>
        <family val="2"/>
      </rPr>
      <t xml:space="preserve">◦ 시스템의 결함 및 </t>
    </r>
    <r>
      <rPr>
        <sz val="9"/>
        <rFont val="맑은 고딕"/>
        <family val="0"/>
        <charset val="1"/>
      </rPr>
      <t xml:space="preserve">S/W </t>
    </r>
    <r>
      <rPr>
        <sz val="9"/>
        <rFont val="WenQuanYi Zen Hei"/>
        <family val="2"/>
      </rPr>
      <t xml:space="preserve">개발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설치 등의 하자가 발견될 경우 즉시 필요한 조치를 취하여 문제를 해결하여야 함
  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하자보수 기간 중 치명적인 하자 및 오류로 인하여 시스템 사용이 불가 시 즉시 개발인력을 투입하여 지원하도록 함</t>
    </r>
  </si>
  <si>
    <r>
      <rPr>
        <sz val="9"/>
        <rFont val="맑은 고딕"/>
        <family val="0"/>
        <charset val="1"/>
      </rPr>
      <t xml:space="preserve">[3] </t>
    </r>
    <r>
      <rPr>
        <sz val="9"/>
        <rFont val="WenQuanYi Zen Hei"/>
        <family val="2"/>
      </rPr>
      <t xml:space="preserve">시스템의 결함 및 </t>
    </r>
    <r>
      <rPr>
        <sz val="9"/>
        <rFont val="맑은 고딕"/>
        <family val="0"/>
        <charset val="1"/>
      </rPr>
      <t xml:space="preserve">S/W </t>
    </r>
    <r>
      <rPr>
        <sz val="9"/>
        <rFont val="WenQuanYi Zen Hei"/>
        <family val="2"/>
      </rPr>
      <t xml:space="preserve">개발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설치 등의 하자가 발견될 경우 즉시 필요한 조치를 취하여 문제를 해결하여야 함
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하자보수 기간 중 치명적인 하자 및 오류로 인하여 시스템 사용이 불가 시</t>
    </r>
  </si>
  <si>
    <r>
      <rPr>
        <sz val="9"/>
        <rFont val="WenQuanYi Zen Hei"/>
        <family val="2"/>
      </rPr>
      <t xml:space="preserve">타 자료는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번 항목의 </t>
    </r>
    <r>
      <rPr>
        <sz val="9"/>
        <rFont val="맑은 고딕"/>
        <family val="0"/>
        <charset val="1"/>
      </rPr>
      <t xml:space="preserve">'-' </t>
    </r>
    <r>
      <rPr>
        <sz val="9"/>
        <rFont val="WenQuanYi Zen Hei"/>
        <family val="2"/>
      </rPr>
      <t xml:space="preserve">하위문장을 줄바꿈 위치에서 잘라 별도 행</t>
    </r>
    <r>
      <rPr>
        <sz val="9"/>
        <rFont val="맑은 고딕"/>
        <family val="0"/>
        <charset val="1"/>
      </rPr>
      <t xml:space="preserve">(4</t>
    </r>
    <r>
      <rPr>
        <sz val="9"/>
        <rFont val="WenQuanYi Zen Hei"/>
        <family val="2"/>
      </rPr>
      <t xml:space="preserve">번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분리 → 이후 번호가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씩 밀림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총 </t>
    </r>
    <r>
      <rPr>
        <sz val="9"/>
        <rFont val="맑은 고딕"/>
        <family val="0"/>
        <charset val="1"/>
      </rPr>
      <t xml:space="preserve">9</t>
    </r>
    <r>
      <rPr>
        <sz val="9"/>
        <rFont val="WenQuanYi Zen Hei"/>
        <family val="2"/>
      </rPr>
      <t xml:space="preserve">개</t>
    </r>
    <r>
      <rPr>
        <sz val="9"/>
        <rFont val="맑은 고딕"/>
        <family val="0"/>
        <charset val="1"/>
      </rPr>
      <t xml:space="preserve">). </t>
    </r>
    <r>
      <rPr>
        <sz val="9"/>
        <rFont val="WenQuanYi Zen Hei"/>
        <family val="2"/>
      </rPr>
      <t xml:space="preserve">원문 기준 </t>
    </r>
    <r>
      <rPr>
        <sz val="9"/>
        <rFont val="맑은 고딕"/>
        <family val="0"/>
        <charset val="1"/>
      </rPr>
      <t xml:space="preserve">o </t>
    </r>
    <r>
      <rPr>
        <sz val="9"/>
        <rFont val="WenQuanYi Zen Hei"/>
        <family val="2"/>
      </rPr>
      <t xml:space="preserve">항목은 </t>
    </r>
    <r>
      <rPr>
        <sz val="9"/>
        <rFont val="맑은 고딕"/>
        <family val="0"/>
        <charset val="1"/>
      </rPr>
      <t xml:space="preserve">8</t>
    </r>
    <r>
      <rPr>
        <sz val="9"/>
        <rFont val="WenQuanYi Zen Hei"/>
        <family val="2"/>
      </rPr>
      <t xml:space="preserve">개</t>
    </r>
  </si>
  <si>
    <t xml:space="preserve">F213</t>
  </si>
  <si>
    <r>
      <rPr>
        <sz val="9"/>
        <rFont val="WenQuanYi Zen Hei"/>
        <family val="2"/>
      </rPr>
      <t xml:space="preserve">◦ 고장수리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성능개선 지원 및 긴급지원관리 서비스</t>
    </r>
  </si>
  <si>
    <r>
      <rPr>
        <sz val="9"/>
        <rFont val="맑은 고딕"/>
        <family val="0"/>
        <charset val="1"/>
      </rPr>
      <t xml:space="preserve">[4] </t>
    </r>
    <r>
      <rPr>
        <sz val="9"/>
        <rFont val="WenQuanYi Zen Hei"/>
        <family val="2"/>
      </rPr>
      <t xml:space="preserve">즉시 개발인력을 투입하여 지원하도록 함</t>
    </r>
  </si>
  <si>
    <t xml:space="preserve">F214</t>
  </si>
  <si>
    <r>
      <rPr>
        <sz val="9"/>
        <rFont val="WenQuanYi Zen Hei"/>
        <family val="2"/>
      </rPr>
      <t xml:space="preserve">◦ 고객지원 엔지니어의 방문지원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요청 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</si>
  <si>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[5] </t>
    </r>
    <r>
      <rPr>
        <sz val="9"/>
        <rFont val="WenQuanYi Zen Hei"/>
        <family val="2"/>
      </rPr>
      <t xml:space="preserve">고장수리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성능개선 지원 및 긴급지원관리 서비스</t>
    </r>
  </si>
  <si>
    <t xml:space="preserve">F215</t>
  </si>
  <si>
    <r>
      <rPr>
        <sz val="9"/>
        <rFont val="WenQuanYi Zen Hei"/>
        <family val="2"/>
      </rPr>
      <t xml:space="preserve">◦ 공급되는 솔루션의 제작사 지원 중단 시는 최소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개월 전에 서면으로 통보하고 업그레이드 등 지속운용 대책 등을 강구하여야 함</t>
    </r>
  </si>
  <si>
    <r>
      <rPr>
        <sz val="9"/>
        <rFont val="맑은 고딕"/>
        <family val="0"/>
        <charset val="1"/>
      </rPr>
      <t xml:space="preserve">[6] </t>
    </r>
    <r>
      <rPr>
        <sz val="9"/>
        <rFont val="WenQuanYi Zen Hei"/>
        <family val="2"/>
      </rPr>
      <t xml:space="preserve">고객지원 엔지니어의 방문지원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요청 시</t>
    </r>
    <r>
      <rPr>
        <sz val="9"/>
        <rFont val="맑은 고딕"/>
        <family val="0"/>
        <charset val="1"/>
      </rPr>
      <t xml:space="preserve">)</t>
    </r>
  </si>
  <si>
    <t xml:space="preserve">F216</t>
  </si>
  <si>
    <r>
      <rPr>
        <sz val="9"/>
        <rFont val="WenQuanYi Zen Hei"/>
        <family val="2"/>
      </rPr>
      <t xml:space="preserve">◦ 모든 납품 제품은 제조사 공급확약서 및 기술지원 확약서를 계약 후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일 이내 제출하여야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</si>
  <si>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[7] </t>
    </r>
    <r>
      <rPr>
        <sz val="9"/>
        <rFont val="WenQuanYi Zen Hei"/>
        <family val="2"/>
      </rPr>
      <t xml:space="preserve">공급되는 솔루션의 제작사 지원 중단 시는 최소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개월 전에 서면으로 통보하고 업그레이드 등 지속운용 대책 등을 강구하여야 함</t>
    </r>
  </si>
  <si>
    <t xml:space="preserve">F217</t>
  </si>
  <si>
    <r>
      <rPr>
        <sz val="9"/>
        <rFont val="맑은 고딕"/>
        <family val="0"/>
        <charset val="1"/>
      </rPr>
      <t xml:space="preserve">[8] </t>
    </r>
    <r>
      <rPr>
        <sz val="9"/>
        <rFont val="WenQuanYi Zen Hei"/>
        <family val="2"/>
      </rPr>
      <t xml:space="preserve">모든 납품 제품은 제조사 공급확약서 및 기술지원 확약서를 계약 후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일 이내 제출하여야 한다</t>
    </r>
    <r>
      <rPr>
        <sz val="9"/>
        <rFont val="맑은 고딕"/>
        <family val="0"/>
        <charset val="1"/>
      </rPr>
      <t xml:space="preserve">.</t>
    </r>
  </si>
  <si>
    <t xml:space="preserve">C210</t>
  </si>
  <si>
    <t xml:space="preserve">8</t>
  </si>
  <si>
    <t xml:space="preserve">9</t>
  </si>
  <si>
    <t xml:space="preserve">F218</t>
  </si>
  <si>
    <r>
      <rPr>
        <sz val="9"/>
        <rFont val="WenQuanYi Zen Hei"/>
        <family val="2"/>
      </rPr>
      <t xml:space="preserve">◦ 기존시스템 운영에 영향을 주지 않아야 하며 기존시스템과 완벽하게 호환되어 정상 동작 수행 </t>
    </r>
    <r>
      <rPr>
        <sz val="9"/>
        <rFont val="맑은 고딕"/>
        <family val="0"/>
        <charset val="1"/>
      </rPr>
      <t xml:space="preserve">(SSO </t>
    </r>
    <r>
      <rPr>
        <sz val="9"/>
        <rFont val="WenQuanYi Zen Hei"/>
        <family val="2"/>
      </rPr>
      <t xml:space="preserve">연동 포함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</si>
  <si>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[1] </t>
    </r>
    <r>
      <rPr>
        <sz val="9"/>
        <rFont val="WenQuanYi Zen Hei"/>
        <family val="2"/>
      </rPr>
      <t xml:space="preserve">기존시스템 운영에 영향을 주지 않아야 하며 기존시스템과 완벽하게 호환되어 정상적으로 동작이 수행되어야 함 </t>
    </r>
    <r>
      <rPr>
        <sz val="9"/>
        <rFont val="맑은 고딕"/>
        <family val="0"/>
        <charset val="1"/>
      </rPr>
      <t xml:space="preserve">(SSO </t>
    </r>
    <r>
      <rPr>
        <sz val="9"/>
        <rFont val="WenQuanYi Zen Hei"/>
        <family val="2"/>
      </rPr>
      <t xml:space="preserve">연동 포함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</si>
  <si>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타 자료 </t>
    </r>
    <r>
      <rPr>
        <sz val="9"/>
        <rFont val="맑은 고딕"/>
        <family val="0"/>
        <charset val="1"/>
      </rPr>
      <t xml:space="preserve">COR-001</t>
    </r>
    <r>
      <rPr>
        <sz val="9"/>
        <rFont val="WenQuanYi Zen Hei"/>
        <family val="2"/>
      </rPr>
      <t xml:space="preserve">은 </t>
    </r>
    <r>
      <rPr>
        <sz val="9"/>
        <rFont val="맑은 고딕"/>
        <family val="0"/>
        <charset val="1"/>
      </rPr>
      <t xml:space="preserve">4</t>
    </r>
    <r>
      <rPr>
        <sz val="9"/>
        <rFont val="WenQuanYi Zen Hei"/>
        <family val="2"/>
      </rPr>
      <t xml:space="preserve">개 항목이며 문구가 수령 </t>
    </r>
    <r>
      <rPr>
        <sz val="9"/>
        <rFont val="맑은 고딕"/>
        <family val="0"/>
        <charset val="1"/>
      </rPr>
      <t xml:space="preserve">PDF</t>
    </r>
    <r>
      <rPr>
        <sz val="9"/>
        <rFont val="WenQuanYi Zen Hei"/>
        <family val="2"/>
      </rPr>
      <t xml:space="preserve">와 다름</t>
    </r>
    <r>
      <rPr>
        <sz val="9"/>
        <rFont val="맑은 고딕"/>
        <family val="0"/>
        <charset val="1"/>
      </rPr>
      <t xml:space="preserve">('</t>
    </r>
    <r>
      <rPr>
        <sz val="9"/>
        <rFont val="WenQuanYi Zen Hei"/>
        <family val="2"/>
      </rPr>
      <t xml:space="preserve">자동화 수행</t>
    </r>
    <r>
      <rPr>
        <sz val="9"/>
        <rFont val="맑은 고딕"/>
        <family val="0"/>
        <charset val="1"/>
      </rPr>
      <t xml:space="preserve">', '</t>
    </r>
    <r>
      <rPr>
        <sz val="9"/>
        <rFont val="WenQuanYi Zen Hei"/>
        <family val="2"/>
      </rPr>
      <t xml:space="preserve">자동화 스크립트 작성기법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→ RFP </t>
    </r>
    <r>
      <rPr>
        <sz val="9"/>
        <rFont val="WenQuanYi Zen Hei"/>
        <family val="2"/>
      </rPr>
      <t xml:space="preserve">초안과 본 </t>
    </r>
    <r>
      <rPr>
        <sz val="9"/>
        <rFont val="맑은 고딕"/>
        <family val="0"/>
        <charset val="1"/>
      </rPr>
      <t xml:space="preserve">RFP </t>
    </r>
    <r>
      <rPr>
        <sz val="9"/>
        <rFont val="WenQuanYi Zen Hei"/>
        <family val="2"/>
      </rPr>
      <t xml:space="preserve">버전 차이로 추정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수령 </t>
    </r>
    <r>
      <rPr>
        <sz val="9"/>
        <rFont val="맑은 고딕"/>
        <family val="0"/>
        <charset val="1"/>
      </rPr>
      <t xml:space="preserve">PDF </t>
    </r>
    <r>
      <rPr>
        <sz val="9"/>
        <rFont val="WenQuanYi Zen Hei"/>
        <family val="2"/>
      </rPr>
      <t xml:space="preserve">기준 </t>
    </r>
    <r>
      <rPr>
        <sz val="9"/>
        <rFont val="맑은 고딕"/>
        <family val="0"/>
        <charset val="1"/>
      </rPr>
      <t xml:space="preserve">o </t>
    </r>
    <r>
      <rPr>
        <sz val="9"/>
        <rFont val="WenQuanYi Zen Hei"/>
        <family val="2"/>
      </rPr>
      <t xml:space="preserve">항목은 </t>
    </r>
    <r>
      <rPr>
        <sz val="9"/>
        <rFont val="맑은 고딕"/>
        <family val="0"/>
        <charset val="1"/>
      </rPr>
      <t xml:space="preserve">7</t>
    </r>
    <r>
      <rPr>
        <sz val="9"/>
        <rFont val="WenQuanYi Zen Hei"/>
        <family val="2"/>
      </rPr>
      <t xml:space="preserve">개</t>
    </r>
  </si>
  <si>
    <t xml:space="preserve">F219</t>
  </si>
  <si>
    <r>
      <rPr>
        <sz val="9"/>
        <rFont val="맑은 고딕"/>
        <family val="0"/>
        <charset val="1"/>
      </rPr>
      <t xml:space="preserve">[2] </t>
    </r>
    <r>
      <rPr>
        <sz val="9"/>
        <rFont val="WenQuanYi Zen Hei"/>
        <family val="2"/>
      </rPr>
      <t xml:space="preserve">사업기간 중 규정변경에 따른 연동대상 시스템 프로세스 변경된 경우 이를 반영하여야 함</t>
    </r>
  </si>
  <si>
    <t xml:space="preserve">F220</t>
  </si>
  <si>
    <r>
      <rPr>
        <sz val="9"/>
        <rFont val="WenQuanYi Zen Hei"/>
        <family val="2"/>
      </rPr>
      <t xml:space="preserve">◦ 사업 중 발주자의 </t>
    </r>
    <r>
      <rPr>
        <sz val="9"/>
        <rFont val="맑은 고딕"/>
        <family val="0"/>
        <charset val="1"/>
      </rPr>
      <t xml:space="preserve">ICT </t>
    </r>
    <r>
      <rPr>
        <sz val="9"/>
        <rFont val="WenQuanYi Zen Hei"/>
        <family val="2"/>
      </rPr>
      <t xml:space="preserve">인프라 환경이 변경되는 경우 이를 반영</t>
    </r>
  </si>
  <si>
    <r>
      <rPr>
        <sz val="9"/>
        <rFont val="맑은 고딕"/>
        <family val="0"/>
        <charset val="1"/>
      </rPr>
      <t xml:space="preserve">[3] </t>
    </r>
    <r>
      <rPr>
        <sz val="9"/>
        <rFont val="WenQuanYi Zen Hei"/>
        <family val="2"/>
      </rPr>
      <t xml:space="preserve">사업기간 중 발주사의 </t>
    </r>
    <r>
      <rPr>
        <sz val="9"/>
        <rFont val="맑은 고딕"/>
        <family val="0"/>
        <charset val="1"/>
      </rPr>
      <t xml:space="preserve">ICT </t>
    </r>
    <r>
      <rPr>
        <sz val="9"/>
        <rFont val="WenQuanYi Zen Hei"/>
        <family val="2"/>
      </rPr>
      <t xml:space="preserve">인프라 환경이 변경되는 경우 이를 반영하여 자동화 수행</t>
    </r>
  </si>
  <si>
    <t xml:space="preserve">F221</t>
  </si>
  <si>
    <r>
      <rPr>
        <sz val="9"/>
        <rFont val="WenQuanYi Zen Hei"/>
        <family val="2"/>
      </rPr>
      <t xml:space="preserve">◦ 사업 중 발주자의 계획에 따라 생성형 </t>
    </r>
    <r>
      <rPr>
        <sz val="9"/>
        <rFont val="맑은 고딕"/>
        <family val="0"/>
        <charset val="1"/>
      </rPr>
      <t xml:space="preserve">AI</t>
    </r>
    <r>
      <rPr>
        <sz val="9"/>
        <rFont val="WenQuanYi Zen Hei"/>
        <family val="2"/>
      </rPr>
      <t xml:space="preserve">를 활용하는 서비스를 개발 시 이와 연동되도록 반영</t>
    </r>
  </si>
  <si>
    <r>
      <rPr>
        <sz val="9"/>
        <rFont val="맑은 고딕"/>
        <family val="0"/>
        <charset val="1"/>
      </rPr>
      <t xml:space="preserve">[4] </t>
    </r>
    <r>
      <rPr>
        <sz val="9"/>
        <rFont val="WenQuanYi Zen Hei"/>
        <family val="2"/>
      </rPr>
      <t xml:space="preserve">본 과업 수행 시 다음을 포함한 의사결정 필요사항은 사전에 발주부서와 협의하여 결정하여야 함
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자동화에 대한 제반 기술 및 도구 선정
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화면처리 흐름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코드분류 등 향후운영 및 유지관리에 영향을 주는 사항
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자동화 스크립트 작성기법과 문서화 작업</t>
    </r>
  </si>
  <si>
    <t xml:space="preserve">F222</t>
  </si>
  <si>
    <r>
      <rPr>
        <sz val="9"/>
        <rFont val="WenQuanYi Zen Hei"/>
        <family val="2"/>
      </rPr>
      <t xml:space="preserve">◦ 사업 중 다음을 포함한 의사결정 필요사항은 사전에 발주자와 협의
  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업무시스템에 대한 제반 기술 및 도구 선정
  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화면처리 흐름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코드분류 등 향후 운영과 유지관리에 영향을 주는 사항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</si>
  <si>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대응 행 없음</t>
    </r>
    <r>
      <rPr>
        <sz val="9"/>
        <rFont val="맑은 고딕"/>
        <family val="0"/>
        <charset val="1"/>
      </rPr>
      <t xml:space="preserve">)</t>
    </r>
  </si>
  <si>
    <t xml:space="preserve">F223</t>
  </si>
  <si>
    <t xml:space="preserve">F224</t>
  </si>
  <si>
    <t xml:space="preserve">C218</t>
  </si>
  <si>
    <t xml:space="preserve">7</t>
  </si>
  <si>
    <r>
      <rPr>
        <sz val="9"/>
        <rFont val="WenQuanYi Zen Hei"/>
        <family val="2"/>
      </rPr>
      <t xml:space="preserve">① 표지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심의결과</t>
    </r>
  </si>
  <si>
    <t xml:space="preserve">B2</t>
  </si>
  <si>
    <t xml:space="preserve">값 차이</t>
  </si>
  <si>
    <r>
      <rPr>
        <sz val="9"/>
        <rFont val="맑은 고딕"/>
        <family val="0"/>
        <charset val="1"/>
      </rPr>
      <t xml:space="preserve">Pre-VRB </t>
    </r>
    <r>
      <rPr>
        <sz val="9"/>
        <rFont val="WenQuanYi Zen Hei"/>
        <family val="2"/>
      </rPr>
      <t xml:space="preserve">공통시트 </t>
    </r>
    <r>
      <rPr>
        <sz val="9"/>
        <rFont val="맑은 고딕"/>
        <family val="0"/>
        <charset val="1"/>
      </rPr>
      <t xml:space="preserve">V1.1   [</t>
    </r>
    <r>
      <rPr>
        <sz val="9"/>
        <rFont val="WenQuanYi Zen Hei"/>
        <family val="2"/>
      </rPr>
      <t xml:space="preserve">배포용 템플릿</t>
    </r>
    <r>
      <rPr>
        <sz val="9"/>
        <rFont val="맑은 고딕"/>
        <family val="0"/>
        <charset val="1"/>
      </rPr>
      <t xml:space="preserve">]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</si>
  <si>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기능</t>
    </r>
    <r>
      <rPr>
        <sz val="9"/>
        <rFont val="맑은 고딕"/>
        <family val="0"/>
        <charset val="1"/>
      </rPr>
      <t xml:space="preserve">] Pre-VRB </t>
    </r>
    <r>
      <rPr>
        <sz val="9"/>
        <rFont val="WenQuanYi Zen Hei"/>
        <family val="2"/>
      </rPr>
      <t xml:space="preserve">공통시트 — 한국남부발전 실행형 </t>
    </r>
    <r>
      <rPr>
        <sz val="9"/>
        <rFont val="맑은 고딕"/>
        <family val="0"/>
        <charset val="1"/>
      </rPr>
      <t xml:space="preserve">AI </t>
    </r>
    <r>
      <rPr>
        <sz val="9"/>
        <rFont val="WenQuanYi Zen Hei"/>
        <family val="2"/>
      </rPr>
      <t xml:space="preserve">플랫폼 구축 용역   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서식 </t>
    </r>
    <r>
      <rPr>
        <sz val="9"/>
        <rFont val="맑은 고딕"/>
        <family val="0"/>
        <charset val="1"/>
      </rPr>
      <t xml:space="preserve">V2.0]</t>
    </r>
  </si>
  <si>
    <t xml:space="preserve">C7</t>
  </si>
  <si>
    <r>
      <rPr>
        <sz val="9"/>
        <rFont val="맑은 고딕"/>
        <family val="0"/>
        <charset val="1"/>
      </rPr>
      <t xml:space="preserve">AI </t>
    </r>
    <r>
      <rPr>
        <sz val="9"/>
        <rFont val="WenQuanYi Zen Hei"/>
        <family val="2"/>
      </rPr>
      <t xml:space="preserve">인프라 및 생성형 </t>
    </r>
    <r>
      <rPr>
        <sz val="9"/>
        <rFont val="맑은 고딕"/>
        <family val="0"/>
        <charset val="1"/>
      </rPr>
      <t xml:space="preserve">AI </t>
    </r>
    <r>
      <rPr>
        <sz val="9"/>
        <rFont val="WenQuanYi Zen Hei"/>
        <family val="2"/>
      </rPr>
      <t xml:space="preserve">구축 사업</t>
    </r>
  </si>
  <si>
    <r>
      <rPr>
        <sz val="9"/>
        <rFont val="WenQuanYi Zen Hei"/>
        <family val="2"/>
      </rPr>
      <t xml:space="preserve">실행형 </t>
    </r>
    <r>
      <rPr>
        <sz val="9"/>
        <rFont val="맑은 고딕"/>
        <family val="0"/>
        <charset val="1"/>
      </rPr>
      <t xml:space="preserve">AI </t>
    </r>
    <r>
      <rPr>
        <sz val="9"/>
        <rFont val="WenQuanYi Zen Hei"/>
        <family val="2"/>
      </rPr>
      <t xml:space="preserve">플랫폼 구축 용역</t>
    </r>
  </si>
  <si>
    <t xml:space="preserve">E7</t>
  </si>
  <si>
    <r>
      <rPr>
        <sz val="9"/>
        <rFont val="WenQuanYi Zen Hei"/>
        <family val="2"/>
      </rPr>
      <t xml:space="preserve">신용보증재단중앙회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발주부서</t>
    </r>
    <r>
      <rPr>
        <sz val="9"/>
        <rFont val="맑은 고딕"/>
        <family val="0"/>
        <charset val="1"/>
      </rPr>
      <t xml:space="preserve">: AI</t>
    </r>
    <r>
      <rPr>
        <sz val="9"/>
        <rFont val="WenQuanYi Zen Hei"/>
        <family val="2"/>
      </rPr>
      <t xml:space="preserve">디지털전환부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</si>
  <si>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한국남부발전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주</t>
    </r>
    <r>
      <rPr>
        <sz val="9"/>
        <rFont val="맑은 고딕"/>
        <family val="0"/>
        <charset val="1"/>
      </rPr>
      <t xml:space="preserve">) AI</t>
    </r>
    <r>
      <rPr>
        <sz val="9"/>
        <rFont val="WenQuanYi Zen Hei"/>
        <family val="2"/>
      </rPr>
      <t xml:space="preserve">전략부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담당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김영재 </t>
    </r>
    <r>
      <rPr>
        <sz val="9"/>
        <rFont val="맑은 고딕"/>
        <family val="0"/>
        <charset val="1"/>
      </rPr>
      <t xml:space="preserve">/ 070-7713-8642)</t>
    </r>
  </si>
  <si>
    <t xml:space="preserve">C8</t>
  </si>
  <si>
    <r>
      <rPr>
        <sz val="9"/>
        <rFont val="WenQuanYi Zen Hei"/>
        <family val="2"/>
      </rPr>
      <t xml:space="preserve">공공 </t>
    </r>
    <r>
      <rPr>
        <sz val="9"/>
        <rFont val="맑은 고딕"/>
        <family val="0"/>
        <charset val="1"/>
      </rPr>
      <t xml:space="preserve">SI — </t>
    </r>
    <r>
      <rPr>
        <sz val="9"/>
        <rFont val="WenQuanYi Zen Hei"/>
        <family val="2"/>
      </rPr>
      <t xml:space="preserve">패키지</t>
    </r>
    <r>
      <rPr>
        <sz val="9"/>
        <rFont val="맑은 고딕"/>
        <family val="0"/>
        <charset val="1"/>
      </rPr>
      <t xml:space="preserve">SW </t>
    </r>
    <r>
      <rPr>
        <sz val="9"/>
        <rFont val="WenQuanYi Zen Hei"/>
        <family val="2"/>
      </rPr>
      <t xml:space="preserve">도입 및 커스터마이징</t>
    </r>
  </si>
  <si>
    <r>
      <rPr>
        <sz val="9"/>
        <rFont val="WenQuanYi Zen Hei"/>
        <family val="2"/>
      </rPr>
      <t xml:space="preserve">공공 </t>
    </r>
    <r>
      <rPr>
        <sz val="9"/>
        <rFont val="맑은 고딕"/>
        <family val="0"/>
        <charset val="1"/>
      </rPr>
      <t xml:space="preserve">SW </t>
    </r>
    <r>
      <rPr>
        <sz val="9"/>
        <rFont val="WenQuanYi Zen Hei"/>
        <family val="2"/>
      </rPr>
      <t xml:space="preserve">구축 용역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생성형 </t>
    </r>
    <r>
      <rPr>
        <sz val="9"/>
        <rFont val="맑은 고딕"/>
        <family val="0"/>
        <charset val="1"/>
      </rPr>
      <t xml:space="preserve">AI </t>
    </r>
    <r>
      <rPr>
        <sz val="9"/>
        <rFont val="WenQuanYi Zen Hei"/>
        <family val="2"/>
      </rPr>
      <t xml:space="preserve">플랫폼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서비스 고도화</t>
    </r>
    <r>
      <rPr>
        <sz val="9"/>
        <rFont val="맑은 고딕"/>
        <family val="0"/>
        <charset val="1"/>
      </rPr>
      <t xml:space="preserve">, RAG </t>
    </r>
    <r>
      <rPr>
        <sz val="9"/>
        <rFont val="WenQuanYi Zen Hei"/>
        <family val="2"/>
      </rPr>
      <t xml:space="preserve">지식검색 고도화</t>
    </r>
    <r>
      <rPr>
        <sz val="9"/>
        <rFont val="맑은 고딕"/>
        <family val="0"/>
        <charset val="1"/>
      </rPr>
      <t xml:space="preserve">, NPU </t>
    </r>
    <r>
      <rPr>
        <sz val="9"/>
        <rFont val="WenQuanYi Zen Hei"/>
        <family val="2"/>
      </rPr>
      <t xml:space="preserve">기반 음성 </t>
    </r>
    <r>
      <rPr>
        <sz val="9"/>
        <rFont val="맑은 고딕"/>
        <family val="0"/>
        <charset val="1"/>
      </rPr>
      <t xml:space="preserve">AI </t>
    </r>
    <r>
      <rPr>
        <sz val="9"/>
        <rFont val="WenQuanYi Zen Hei"/>
        <family val="2"/>
      </rPr>
      <t xml:space="preserve">구축</t>
    </r>
    <r>
      <rPr>
        <sz val="9"/>
        <rFont val="맑은 고딕"/>
        <family val="0"/>
        <charset val="1"/>
      </rPr>
      <t xml:space="preserve">)</t>
    </r>
  </si>
  <si>
    <t xml:space="preserve">E8</t>
  </si>
  <si>
    <r>
      <rPr>
        <sz val="9"/>
        <rFont val="WenQuanYi Zen Hei"/>
        <family val="2"/>
      </rPr>
      <t xml:space="preserve">경쟁입찰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협상에의한계약</t>
    </r>
  </si>
  <si>
    <r>
      <rPr>
        <sz val="9"/>
        <rFont val="WenQuanYi Zen Hei"/>
        <family val="2"/>
      </rPr>
      <t xml:space="preserve">일반경쟁 입찰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협상에 의한 계약</t>
    </r>
    <r>
      <rPr>
        <sz val="9"/>
        <rFont val="맑은 고딕"/>
        <family val="0"/>
        <charset val="1"/>
      </rPr>
      <t xml:space="preserve">) — RFP </t>
    </r>
    <r>
      <rPr>
        <sz val="9"/>
        <rFont val="WenQuanYi Zen Hei"/>
        <family val="2"/>
      </rPr>
      <t xml:space="preserve">초안 Ⅰ</t>
    </r>
    <r>
      <rPr>
        <sz val="9"/>
        <rFont val="맑은 고딕"/>
        <family val="0"/>
        <charset val="1"/>
      </rPr>
      <t xml:space="preserve">-1 </t>
    </r>
    <r>
      <rPr>
        <sz val="9"/>
        <rFont val="WenQuanYi Zen Hei"/>
        <family val="2"/>
      </rPr>
      <t xml:space="preserve">기재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공동수급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기업규모 제한 등 세부 조건은 초안에 없음</t>
    </r>
    <r>
      <rPr>
        <sz val="9"/>
        <rFont val="맑은 고딕"/>
        <family val="0"/>
        <charset val="1"/>
      </rPr>
      <t xml:space="preserve">(Ⅳ·Ⅴ</t>
    </r>
    <r>
      <rPr>
        <sz val="9"/>
        <rFont val="WenQuanYi Zen Hei"/>
        <family val="2"/>
      </rPr>
      <t xml:space="preserve">장 부재</t>
    </r>
    <r>
      <rPr>
        <sz val="9"/>
        <rFont val="맑은 고딕"/>
        <family val="0"/>
        <charset val="1"/>
      </rPr>
      <t xml:space="preserve">)</t>
    </r>
  </si>
  <si>
    <t xml:space="preserve">C9</t>
  </si>
  <si>
    <t xml:space="preserve">617500000</t>
  </si>
  <si>
    <r>
      <rPr>
        <sz val="9"/>
        <rFont val="맑은 고딕"/>
        <family val="0"/>
        <charset val="1"/>
      </rPr>
      <t xml:space="preserve">RFP </t>
    </r>
    <r>
      <rPr>
        <sz val="9"/>
        <rFont val="WenQuanYi Zen Hei"/>
        <family val="2"/>
      </rPr>
      <t xml:space="preserve">초안 미기재</t>
    </r>
    <r>
      <rPr>
        <sz val="9"/>
        <rFont val="맑은 고딕"/>
        <family val="0"/>
        <charset val="1"/>
      </rPr>
      <t xml:space="preserve">(000,000,000</t>
    </r>
    <r>
      <rPr>
        <sz val="9"/>
        <rFont val="WenQuanYi Zen Hei"/>
        <family val="2"/>
      </rPr>
      <t xml:space="preserve">원으로 표기</t>
    </r>
    <r>
      <rPr>
        <sz val="9"/>
        <rFont val="맑은 고딕"/>
        <family val="0"/>
        <charset val="1"/>
      </rPr>
      <t xml:space="preserve">) — </t>
    </r>
    <r>
      <rPr>
        <sz val="9"/>
        <rFont val="WenQuanYi Zen Hei"/>
        <family val="2"/>
      </rPr>
      <t xml:space="preserve">본공고 확정 후 반영</t>
    </r>
  </si>
  <si>
    <t xml:space="preserve">E9</t>
  </si>
  <si>
    <r>
      <rPr>
        <sz val="9"/>
        <rFont val="WenQuanYi Zen Hei"/>
        <family val="2"/>
      </rPr>
      <t xml:space="preserve">계약체결일로부터</t>
    </r>
    <r>
      <rPr>
        <sz val="9"/>
        <rFont val="맑은 고딕"/>
        <family val="0"/>
        <charset val="1"/>
      </rPr>
      <t xml:space="preserve">7</t>
    </r>
    <r>
      <rPr>
        <sz val="9"/>
        <rFont val="WenQuanYi Zen Hei"/>
        <family val="2"/>
      </rPr>
      <t xml:space="preserve">개월</t>
    </r>
  </si>
  <si>
    <r>
      <rPr>
        <sz val="9"/>
        <rFont val="WenQuanYi Zen Hei"/>
        <family val="2"/>
      </rPr>
      <t xml:space="preserve">계약 체결일로부터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개월 </t>
    </r>
    <r>
      <rPr>
        <sz val="9"/>
        <rFont val="맑은 고딕"/>
        <family val="0"/>
        <charset val="1"/>
      </rPr>
      <t xml:space="preserve">(RFP </t>
    </r>
    <r>
      <rPr>
        <sz val="9"/>
        <rFont val="WenQuanYi Zen Hei"/>
        <family val="2"/>
      </rPr>
      <t xml:space="preserve">초안 Ⅰ</t>
    </r>
    <r>
      <rPr>
        <sz val="9"/>
        <rFont val="맑은 고딕"/>
        <family val="0"/>
        <charset val="1"/>
      </rPr>
      <t xml:space="preserve">-1)</t>
    </r>
  </si>
  <si>
    <t xml:space="preserve">C10</t>
  </si>
  <si>
    <r>
      <rPr>
        <sz val="9"/>
        <rFont val="맑은 고딕"/>
        <family val="0"/>
        <charset val="1"/>
      </rPr>
      <t xml:space="preserve">RFP </t>
    </r>
    <r>
      <rPr>
        <sz val="9"/>
        <rFont val="WenQuanYi Zen Hei"/>
        <family val="2"/>
      </rPr>
      <t xml:space="preserve">초안 단계 — 본공고 미공고</t>
    </r>
  </si>
  <si>
    <t xml:space="preserve">E10</t>
  </si>
  <si>
    <r>
      <rPr>
        <sz val="9"/>
        <rFont val="맑은 고딕"/>
        <family val="0"/>
        <charset val="1"/>
      </rPr>
      <t xml:space="preserve">RFP </t>
    </r>
    <r>
      <rPr>
        <sz val="9"/>
        <rFont val="WenQuanYi Zen Hei"/>
        <family val="2"/>
      </rPr>
      <t xml:space="preserve">초안 미기재 — 본공고 확정 후 반영</t>
    </r>
  </si>
  <si>
    <t xml:space="preserve">C11</t>
  </si>
  <si>
    <t xml:space="preserve">E11</t>
  </si>
  <si>
    <t xml:space="preserve">C12</t>
  </si>
  <si>
    <r>
      <rPr>
        <sz val="9"/>
        <rFont val="WenQuanYi Zen Hei"/>
        <family val="2"/>
      </rPr>
      <t xml:space="preserve">협상에의한계약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기술능력평가분야배점한도의 </t>
    </r>
    <r>
      <rPr>
        <sz val="9"/>
        <rFont val="맑은 고딕"/>
        <family val="0"/>
        <charset val="1"/>
      </rPr>
      <t xml:space="preserve">85%</t>
    </r>
    <r>
      <rPr>
        <sz val="9"/>
        <rFont val="WenQuanYi Zen Hei"/>
        <family val="2"/>
      </rPr>
      <t xml:space="preserve">이상인 자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</si>
  <si>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협상에 의한 계약 — 기술평가 기준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협상적격 점수는 </t>
    </r>
    <r>
      <rPr>
        <sz val="9"/>
        <rFont val="맑은 고딕"/>
        <family val="0"/>
        <charset val="1"/>
      </rPr>
      <t xml:space="preserve">RFP </t>
    </r>
    <r>
      <rPr>
        <sz val="9"/>
        <rFont val="WenQuanYi Zen Hei"/>
        <family val="2"/>
      </rPr>
      <t xml:space="preserve">초안 미기재 — 본공고 확정 후 반영</t>
    </r>
  </si>
  <si>
    <t xml:space="preserve">E12</t>
  </si>
  <si>
    <r>
      <rPr>
        <sz val="9"/>
        <rFont val="WenQuanYi Zen Hei"/>
        <family val="2"/>
      </rPr>
      <t xml:space="preserve">기술 </t>
    </r>
    <r>
      <rPr>
        <sz val="9"/>
        <rFont val="맑은 고딕"/>
        <family val="0"/>
        <charset val="1"/>
      </rPr>
      <t xml:space="preserve">90 : </t>
    </r>
    <r>
      <rPr>
        <sz val="9"/>
        <rFont val="WenQuanYi Zen Hei"/>
        <family val="2"/>
      </rPr>
      <t xml:space="preserve">가격 </t>
    </r>
    <r>
      <rPr>
        <sz val="9"/>
        <rFont val="맑은 고딕"/>
        <family val="0"/>
        <charset val="1"/>
      </rPr>
      <t xml:space="preserve">10</t>
    </r>
  </si>
  <si>
    <t xml:space="preserve">C13</t>
  </si>
  <si>
    <r>
      <rPr>
        <sz val="9"/>
        <rFont val="맑은 고딕"/>
        <family val="0"/>
        <charset val="1"/>
      </rPr>
      <t xml:space="preserve">AX</t>
    </r>
    <r>
      <rPr>
        <sz val="9"/>
        <rFont val="WenQuanYi Zen Hei"/>
        <family val="2"/>
      </rPr>
      <t xml:space="preserve">서비스사업부 </t>
    </r>
    <r>
      <rPr>
        <sz val="9"/>
        <rFont val="맑은 고딕"/>
        <family val="0"/>
        <charset val="1"/>
      </rPr>
      <t xml:space="preserve">AX</t>
    </r>
    <r>
      <rPr>
        <sz val="9"/>
        <rFont val="WenQuanYi Zen Hei"/>
        <family val="2"/>
      </rPr>
      <t xml:space="preserve">서비스영업팀 김산 이사대우</t>
    </r>
  </si>
  <si>
    <t xml:space="preserve">E13</t>
  </si>
  <si>
    <r>
      <rPr>
        <sz val="9"/>
        <rFont val="맑은 고딕"/>
        <family val="0"/>
        <charset val="1"/>
      </rPr>
      <t xml:space="preserve">PM</t>
    </r>
    <r>
      <rPr>
        <sz val="9"/>
        <rFont val="WenQuanYi Zen Hei"/>
        <family val="2"/>
      </rPr>
      <t xml:space="preserve">팀 김진서 부장</t>
    </r>
  </si>
  <si>
    <t xml:space="preserve">E14</t>
  </si>
  <si>
    <r>
      <rPr>
        <sz val="9"/>
        <rFont val="맑은 고딕"/>
        <family val="0"/>
        <charset val="1"/>
      </rPr>
      <t xml:space="preserve">AI</t>
    </r>
    <r>
      <rPr>
        <sz val="9"/>
        <rFont val="WenQuanYi Zen Hei"/>
        <family val="2"/>
      </rPr>
      <t xml:space="preserve">사업부문 사업관리그룹 송승현 부장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송인성 부장</t>
    </r>
  </si>
  <si>
    <t xml:space="preserve">C15</t>
  </si>
  <si>
    <t xml:space="preserve">E15</t>
  </si>
  <si>
    <r>
      <rPr>
        <sz val="9"/>
        <rFont val="WenQuanYi Zen Hei"/>
        <family val="2"/>
      </rPr>
      <t xml:space="preserve">주사업자 사업 참여나 고객과 사전에 과업에 대한 범위가 조정 되었고</t>
    </r>
    <r>
      <rPr>
        <sz val="9"/>
        <rFont val="맑은 고딕"/>
        <family val="0"/>
        <charset val="1"/>
      </rPr>
      <t xml:space="preserve">, GPU </t>
    </r>
    <r>
      <rPr>
        <sz val="9"/>
        <rFont val="WenQuanYi Zen Hei"/>
        <family val="2"/>
      </rPr>
      <t xml:space="preserve">서버 납기로 개발이 제한됨</t>
    </r>
  </si>
  <si>
    <t xml:space="preserve">B31</t>
  </si>
  <si>
    <r>
      <rPr>
        <sz val="9"/>
        <rFont val="WenQuanYi Zen Hei"/>
        <family val="2"/>
      </rPr>
      <t xml:space="preserve">제품 활용률 </t>
    </r>
    <r>
      <rPr>
        <sz val="9"/>
        <rFont val="맑은 고딕"/>
        <family val="0"/>
        <charset val="1"/>
      </rPr>
      <t xml:space="preserve">(F1+F2+F3)</t>
    </r>
  </si>
  <si>
    <t xml:space="preserve">C31</t>
  </si>
  <si>
    <r>
      <rPr>
        <sz val="9"/>
        <rFont val="WenQuanYi Zen Hei"/>
        <family val="2"/>
      </rPr>
      <t xml:space="preserve">수식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양식 구조 차이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</si>
  <si>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수식</t>
    </r>
    <r>
      <rPr>
        <sz val="9"/>
        <rFont val="맑은 고딕"/>
        <family val="0"/>
        <charset val="1"/>
      </rPr>
      <t xml:space="preserve">) =TEXT('③-1 </t>
    </r>
    <r>
      <rPr>
        <sz val="9"/>
        <rFont val="WenQuanYi Zen Hei"/>
        <family val="2"/>
      </rPr>
      <t xml:space="preserve">비율 산정</t>
    </r>
    <r>
      <rPr>
        <sz val="9"/>
        <rFont val="맑은 고딕"/>
        <family val="0"/>
        <charset val="1"/>
      </rPr>
      <t xml:space="preserve">'!D26,"0.0%")&amp;"  (</t>
    </r>
    <r>
      <rPr>
        <sz val="9"/>
        <rFont val="WenQuanYi Zen Hei"/>
        <family val="2"/>
      </rPr>
      <t xml:space="preserve">즉시대응 </t>
    </r>
    <r>
      <rPr>
        <sz val="9"/>
        <rFont val="맑은 고딕"/>
        <family val="0"/>
        <charset val="1"/>
      </rPr>
      <t xml:space="preserve">"&amp;TEXT('③-1 </t>
    </r>
    <r>
      <rPr>
        <sz val="9"/>
        <rFont val="WenQuanYi Zen Hei"/>
        <family val="2"/>
      </rPr>
      <t xml:space="preserve">비율 산정</t>
    </r>
    <r>
      <rPr>
        <sz val="9"/>
        <rFont val="맑은 고딕"/>
        <family val="0"/>
        <charset val="1"/>
      </rPr>
      <t xml:space="preserve">'!D27,"0.0%")&amp;")"</t>
    </r>
  </si>
  <si>
    <r>
      <rPr>
        <sz val="9"/>
        <rFont val="WenQuanYi Zen Hei"/>
        <family val="2"/>
      </rPr>
      <t xml:space="preserve">양식 </t>
    </r>
    <r>
      <rPr>
        <sz val="9"/>
        <rFont val="맑은 고딕"/>
        <family val="0"/>
        <charset val="1"/>
      </rPr>
      <t xml:space="preserve">V2.0 </t>
    </r>
    <r>
      <rPr>
        <sz val="9"/>
        <rFont val="WenQuanYi Zen Hei"/>
        <family val="2"/>
      </rPr>
      <t xml:space="preserve">차이</t>
    </r>
  </si>
  <si>
    <t xml:space="preserve">D31</t>
  </si>
  <si>
    <r>
      <rPr>
        <sz val="9"/>
        <rFont val="WenQuanYi Zen Hei"/>
        <family val="2"/>
      </rPr>
      <t xml:space="preserve">개발 구분 비율 </t>
    </r>
    <r>
      <rPr>
        <sz val="9"/>
        <rFont val="맑은 고딕"/>
        <family val="0"/>
        <charset val="1"/>
      </rPr>
      <t xml:space="preserve">(D1/D2/D3)</t>
    </r>
  </si>
  <si>
    <t xml:space="preserve">E31</t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</si>
  <si>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수식</t>
    </r>
    <r>
      <rPr>
        <sz val="9"/>
        <rFont val="맑은 고딕"/>
        <family val="0"/>
        <charset val="1"/>
      </rPr>
      <t xml:space="preserve">) =TEXT('③-1 </t>
    </r>
    <r>
      <rPr>
        <sz val="9"/>
        <rFont val="WenQuanYi Zen Hei"/>
        <family val="2"/>
      </rPr>
      <t xml:space="preserve">비율 산정</t>
    </r>
    <r>
      <rPr>
        <sz val="9"/>
        <rFont val="맑은 고딕"/>
        <family val="0"/>
        <charset val="1"/>
      </rPr>
      <t xml:space="preserve">'!G33,"0.0%")&amp;" / "&amp;TEXT('③-1 </t>
    </r>
    <r>
      <rPr>
        <sz val="9"/>
        <rFont val="WenQuanYi Zen Hei"/>
        <family val="2"/>
      </rPr>
      <t xml:space="preserve">비율 산정</t>
    </r>
    <r>
      <rPr>
        <sz val="9"/>
        <rFont val="맑은 고딕"/>
        <family val="0"/>
        <charset val="1"/>
      </rPr>
      <t xml:space="preserve">'!G34,"0.0%")&amp;" / "&amp;TEXT('③-1 </t>
    </r>
    <r>
      <rPr>
        <sz val="9"/>
        <rFont val="WenQuanYi Zen Hei"/>
        <family val="2"/>
      </rPr>
      <t xml:space="preserve">비율 산정</t>
    </r>
    <r>
      <rPr>
        <sz val="9"/>
        <rFont val="맑은 고딕"/>
        <family val="0"/>
        <charset val="1"/>
      </rPr>
      <t xml:space="preserve">'!G35,"0.0%")&amp;"  (</t>
    </r>
    <r>
      <rPr>
        <sz val="9"/>
        <rFont val="WenQuanYi Zen Hei"/>
        <family val="2"/>
      </rPr>
      <t xml:space="preserve">공수 기준</t>
    </r>
    <r>
      <rPr>
        <sz val="9"/>
        <rFont val="맑은 고딕"/>
        <family val="0"/>
        <charset val="1"/>
      </rPr>
      <t xml:space="preserve">)"</t>
    </r>
  </si>
  <si>
    <t xml:space="preserve">C34</t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</si>
  <si>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수식</t>
    </r>
    <r>
      <rPr>
        <sz val="9"/>
        <rFont val="맑은 고딕"/>
        <family val="0"/>
        <charset val="1"/>
      </rPr>
      <t xml:space="preserve">) =SUM('③ </t>
    </r>
    <r>
      <rPr>
        <sz val="9"/>
        <rFont val="WenQuanYi Zen Hei"/>
        <family val="2"/>
      </rPr>
      <t xml:space="preserve">요구사항 검토</t>
    </r>
    <r>
      <rPr>
        <sz val="9"/>
        <rFont val="맑은 고딕"/>
        <family val="0"/>
        <charset val="1"/>
      </rPr>
      <t xml:space="preserve">'!T6:T300)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</si>
  <si>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수식</t>
    </r>
    <r>
      <rPr>
        <sz val="9"/>
        <rFont val="맑은 고딕"/>
        <family val="0"/>
        <charset val="1"/>
      </rPr>
      <t xml:space="preserve">) =SUM('③ </t>
    </r>
    <r>
      <rPr>
        <sz val="9"/>
        <rFont val="WenQuanYi Zen Hei"/>
        <family val="2"/>
      </rPr>
      <t xml:space="preserve">요구사항 검토</t>
    </r>
    <r>
      <rPr>
        <sz val="9"/>
        <rFont val="맑은 고딕"/>
        <family val="0"/>
        <charset val="1"/>
      </rPr>
      <t xml:space="preserve">'!Q6:Q268)+SUM('③ </t>
    </r>
    <r>
      <rPr>
        <sz val="9"/>
        <rFont val="WenQuanYi Zen Hei"/>
        <family val="2"/>
      </rPr>
      <t xml:space="preserve">요구사항 검토</t>
    </r>
    <r>
      <rPr>
        <sz val="9"/>
        <rFont val="맑은 고딕"/>
        <family val="0"/>
        <charset val="1"/>
      </rPr>
      <t xml:space="preserve">'!R6:R268)+SUM('③ </t>
    </r>
    <r>
      <rPr>
        <sz val="9"/>
        <rFont val="WenQuanYi Zen Hei"/>
        <family val="2"/>
      </rPr>
      <t xml:space="preserve">요구사항 검토</t>
    </r>
    <r>
      <rPr>
        <sz val="9"/>
        <rFont val="맑은 고딕"/>
        <family val="0"/>
        <charset val="1"/>
      </rPr>
      <t xml:space="preserve">'!T6:T268)</t>
    </r>
  </si>
  <si>
    <t xml:space="preserve">G34</t>
  </si>
  <si>
    <r>
      <rPr>
        <sz val="9"/>
        <rFont val="WenQuanYi Zen Hei"/>
        <family val="2"/>
      </rPr>
      <t xml:space="preserve">제안 활동 공수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부문 방침에 따라 산정 여부 결정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</si>
  <si>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수행팀</t>
    </r>
    <r>
      <rPr>
        <sz val="9"/>
        <rFont val="맑은 고딕"/>
        <family val="0"/>
        <charset val="1"/>
      </rPr>
      <t xml:space="preserve">(AI</t>
    </r>
    <r>
      <rPr>
        <sz val="9"/>
        <rFont val="WenQuanYi Zen Hei"/>
        <family val="2"/>
      </rPr>
      <t xml:space="preserve">사업부문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구축 공수 — ③시트 </t>
    </r>
    <r>
      <rPr>
        <sz val="9"/>
        <rFont val="맑은 고딕"/>
        <family val="0"/>
        <charset val="1"/>
      </rPr>
      <t xml:space="preserve">Q·R·T</t>
    </r>
    <r>
      <rPr>
        <sz val="9"/>
        <rFont val="WenQuanYi Zen Hei"/>
        <family val="2"/>
      </rPr>
      <t xml:space="preserve">열 합계</t>
    </r>
  </si>
  <si>
    <t xml:space="preserve">C36</t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</si>
  <si>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수식</t>
    </r>
    <r>
      <rPr>
        <sz val="9"/>
        <rFont val="맑은 고딕"/>
        <family val="0"/>
        <charset val="1"/>
      </rPr>
      <t xml:space="preserve">) =SUM('③ </t>
    </r>
    <r>
      <rPr>
        <sz val="9"/>
        <rFont val="WenQuanYi Zen Hei"/>
        <family val="2"/>
      </rPr>
      <t xml:space="preserve">요구사항 검토</t>
    </r>
    <r>
      <rPr>
        <sz val="9"/>
        <rFont val="맑은 고딕"/>
        <family val="0"/>
        <charset val="1"/>
      </rPr>
      <t xml:space="preserve">'!W6:W300)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</si>
  <si>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수식</t>
    </r>
    <r>
      <rPr>
        <sz val="9"/>
        <rFont val="맑은 고딕"/>
        <family val="0"/>
        <charset val="1"/>
      </rPr>
      <t xml:space="preserve">) =SUM('③ </t>
    </r>
    <r>
      <rPr>
        <sz val="9"/>
        <rFont val="WenQuanYi Zen Hei"/>
        <family val="2"/>
      </rPr>
      <t xml:space="preserve">요구사항 검토</t>
    </r>
    <r>
      <rPr>
        <sz val="9"/>
        <rFont val="맑은 고딕"/>
        <family val="0"/>
        <charset val="1"/>
      </rPr>
      <t xml:space="preserve">'!S6:S268)</t>
    </r>
  </si>
  <si>
    <t xml:space="preserve">C37</t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</si>
  <si>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수식</t>
    </r>
    <r>
      <rPr>
        <sz val="9"/>
        <rFont val="맑은 고딕"/>
        <family val="0"/>
        <charset val="1"/>
      </rPr>
      <t xml:space="preserve">) =SUM('③ </t>
    </r>
    <r>
      <rPr>
        <sz val="9"/>
        <rFont val="WenQuanYi Zen Hei"/>
        <family val="2"/>
      </rPr>
      <t xml:space="preserve">요구사항 검토</t>
    </r>
    <r>
      <rPr>
        <sz val="9"/>
        <rFont val="맑은 고딕"/>
        <family val="0"/>
        <charset val="1"/>
      </rPr>
      <t xml:space="preserve">'!U6:U300)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</si>
  <si>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수식</t>
    </r>
    <r>
      <rPr>
        <sz val="9"/>
        <rFont val="맑은 고딕"/>
        <family val="0"/>
        <charset val="1"/>
      </rPr>
      <t xml:space="preserve">) =SUM('③ </t>
    </r>
    <r>
      <rPr>
        <sz val="9"/>
        <rFont val="WenQuanYi Zen Hei"/>
        <family val="2"/>
      </rPr>
      <t xml:space="preserve">요구사항 검토</t>
    </r>
    <r>
      <rPr>
        <sz val="9"/>
        <rFont val="맑은 고딕"/>
        <family val="0"/>
        <charset val="1"/>
      </rPr>
      <t xml:space="preserve">'!Y6:Y268)</t>
    </r>
  </si>
  <si>
    <t xml:space="preserve">B40</t>
  </si>
  <si>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참고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영업</t>
    </r>
    <r>
      <rPr>
        <sz val="9"/>
        <rFont val="맑은 고딕"/>
        <family val="0"/>
        <charset val="1"/>
      </rPr>
      <t xml:space="preserve">(BD) </t>
    </r>
    <r>
      <rPr>
        <sz val="9"/>
        <rFont val="WenQuanYi Zen Hei"/>
        <family val="2"/>
      </rPr>
      <t xml:space="preserve">사전산정</t>
    </r>
  </si>
  <si>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참고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영업</t>
    </r>
    <r>
      <rPr>
        <sz val="9"/>
        <rFont val="맑은 고딕"/>
        <family val="0"/>
        <charset val="1"/>
      </rPr>
      <t xml:space="preserve">(BD) </t>
    </r>
    <r>
      <rPr>
        <sz val="9"/>
        <rFont val="WenQuanYi Zen Hei"/>
        <family val="2"/>
      </rPr>
      <t xml:space="preserve">사전산정 — 본 건 미적용 </t>
    </r>
    <r>
      <rPr>
        <sz val="9"/>
        <rFont val="맑은 고딕"/>
        <family val="0"/>
        <charset val="1"/>
      </rPr>
      <t xml:space="preserve">(③</t>
    </r>
    <r>
      <rPr>
        <sz val="9"/>
        <rFont val="WenQuanYi Zen Hei"/>
        <family val="2"/>
      </rPr>
      <t xml:space="preserve">시트 </t>
    </r>
    <r>
      <rPr>
        <sz val="9"/>
        <rFont val="맑은 고딕"/>
        <family val="0"/>
        <charset val="1"/>
      </rPr>
      <t xml:space="preserve">H</t>
    </r>
    <r>
      <rPr>
        <sz val="9"/>
        <rFont val="WenQuanYi Zen Hei"/>
        <family val="2"/>
      </rPr>
      <t xml:space="preserve">열 입력 영역 공란</t>
    </r>
    <r>
      <rPr>
        <sz val="9"/>
        <rFont val="맑은 고딕"/>
        <family val="0"/>
        <charset val="1"/>
      </rPr>
      <t xml:space="preserve">)</t>
    </r>
  </si>
  <si>
    <t xml:space="preserve">C40</t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</si>
  <si>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수식</t>
    </r>
    <r>
      <rPr>
        <sz val="9"/>
        <rFont val="맑은 고딕"/>
        <family val="0"/>
        <charset val="1"/>
      </rPr>
      <t xml:space="preserve">) =SUM('③ </t>
    </r>
    <r>
      <rPr>
        <sz val="9"/>
        <rFont val="WenQuanYi Zen Hei"/>
        <family val="2"/>
      </rPr>
      <t xml:space="preserve">요구사항 검토</t>
    </r>
    <r>
      <rPr>
        <sz val="9"/>
        <rFont val="맑은 고딕"/>
        <family val="0"/>
        <charset val="1"/>
      </rPr>
      <t xml:space="preserve">'!H6:H300)</t>
    </r>
  </si>
  <si>
    <t xml:space="preserve">D40</t>
  </si>
  <si>
    <t xml:space="preserve">E40</t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</si>
  <si>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수식</t>
    </r>
    <r>
      <rPr>
        <sz val="9"/>
        <rFont val="맑은 고딕"/>
        <family val="0"/>
        <charset val="1"/>
      </rPr>
      <t xml:space="preserve">) =C38-C40</t>
    </r>
  </si>
  <si>
    <t xml:space="preserve">F40</t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</si>
  <si>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수식</t>
    </r>
    <r>
      <rPr>
        <sz val="9"/>
        <rFont val="맑은 고딕"/>
        <family val="0"/>
        <charset val="1"/>
      </rPr>
      <t xml:space="preserve">) =IFERROR(E40/C40,0)</t>
    </r>
  </si>
  <si>
    <t xml:space="preserve">G40</t>
  </si>
  <si>
    <r>
      <rPr>
        <sz val="9"/>
        <rFont val="WenQuanYi Zen Hei"/>
        <family val="2"/>
      </rPr>
      <t xml:space="preserve">영업</t>
    </r>
    <r>
      <rPr>
        <sz val="9"/>
        <rFont val="맑은 고딕"/>
        <family val="0"/>
        <charset val="1"/>
      </rPr>
      <t xml:space="preserve">(BD) </t>
    </r>
    <r>
      <rPr>
        <sz val="9"/>
        <rFont val="WenQuanYi Zen Hei"/>
        <family val="2"/>
      </rPr>
      <t xml:space="preserve">사전산정치는 비교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검증용이며 원가 합계에는 합산하지 않습니다</t>
    </r>
  </si>
  <si>
    <t xml:space="preserve">⑥ 손익 시나리오</t>
  </si>
  <si>
    <t xml:space="preserve">G7</t>
  </si>
  <si>
    <r>
      <rPr>
        <sz val="9"/>
        <rFont val="WenQuanYi Zen Hei"/>
        <family val="2"/>
      </rPr>
      <t xml:space="preserve">파워톡 기술지원비 </t>
    </r>
    <r>
      <rPr>
        <sz val="9"/>
        <rFont val="맑은 고딕"/>
        <family val="0"/>
        <charset val="1"/>
      </rPr>
      <t xml:space="preserve">41,800,000</t>
    </r>
    <r>
      <rPr>
        <sz val="9"/>
        <rFont val="WenQuanYi Zen Hei"/>
        <family val="2"/>
      </rPr>
      <t xml:space="preserve">원</t>
    </r>
    <r>
      <rPr>
        <sz val="9"/>
        <rFont val="맑은 고딕"/>
        <family val="0"/>
        <charset val="1"/>
      </rPr>
      <t xml:space="preserve">(VAT </t>
    </r>
    <r>
      <rPr>
        <sz val="9"/>
        <rFont val="WenQuanYi Zen Hei"/>
        <family val="2"/>
      </rPr>
      <t xml:space="preserve">포함</t>
    </r>
    <r>
      <rPr>
        <sz val="9"/>
        <rFont val="맑은 고딕"/>
        <family val="0"/>
        <charset val="1"/>
      </rPr>
      <t xml:space="preserve">) ÷ 1.1 — </t>
    </r>
    <r>
      <rPr>
        <sz val="9"/>
        <rFont val="WenQuanYi Zen Hei"/>
        <family val="2"/>
      </rPr>
      <t xml:space="preserve">낙찰자가 정액 지급</t>
    </r>
  </si>
  <si>
    <r>
      <rPr>
        <sz val="9"/>
        <rFont val="WenQuanYi Zen Hei"/>
        <family val="2"/>
      </rPr>
      <t xml:space="preserve">낙찰자 정액 지급 항목 등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해당 시 기재</t>
    </r>
    <r>
      <rPr>
        <sz val="9"/>
        <rFont val="맑은 고딕"/>
        <family val="0"/>
        <charset val="1"/>
      </rPr>
      <t xml:space="preserve">)</t>
    </r>
  </si>
  <si>
    <t xml:space="preserve">G14</t>
  </si>
  <si>
    <r>
      <rPr>
        <sz val="9"/>
        <rFont val="WenQuanYi Zen Hei"/>
        <family val="2"/>
      </rPr>
      <t xml:space="preserve">자체 </t>
    </r>
    <r>
      <rPr>
        <sz val="9"/>
        <rFont val="맑은 고딕"/>
        <family val="0"/>
        <charset val="1"/>
      </rPr>
      <t xml:space="preserve">10.18MM × 3,000,000</t>
    </r>
    <r>
      <rPr>
        <sz val="9"/>
        <rFont val="WenQuanYi Zen Hei"/>
        <family val="2"/>
      </rPr>
      <t xml:space="preserve">원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외주 </t>
    </r>
    <r>
      <rPr>
        <sz val="9"/>
        <rFont val="맑은 고딕"/>
        <family val="0"/>
        <charset val="1"/>
      </rPr>
      <t xml:space="preserve">12.97MM × 1,000,000</t>
    </r>
    <r>
      <rPr>
        <sz val="9"/>
        <rFont val="WenQuanYi Zen Hei"/>
        <family val="2"/>
      </rPr>
      <t xml:space="preserve">원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연구소 </t>
    </r>
    <r>
      <rPr>
        <sz val="9"/>
        <rFont val="맑은 고딕"/>
        <family val="0"/>
        <charset val="1"/>
      </rPr>
      <t xml:space="preserve">6.5MM</t>
    </r>
    <r>
      <rPr>
        <sz val="9"/>
        <rFont val="WenQuanYi Zen Hei"/>
        <family val="2"/>
      </rPr>
      <t xml:space="preserve">은 원격 수행 전제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</si>
  <si>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상주 인력 출장비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상주 비용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상주 범위 확정 후 산정</t>
    </r>
    <r>
      <rPr>
        <sz val="9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</si>
</sst>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m/d/yyyy"/>
    <numFmt numFmtId="167" formatCode="General"/>
    <numFmt numFmtId="168" formatCode="0.0%"/>
    <numFmt numFmtId="169" formatCode="0"/>
    <numFmt numFmtId="170" formatCode="0.00"/>
    <numFmt numFmtId="171" formatCode="0.00;\(0.00\)"/>
    <numFmt numFmtId="172" formatCode="0.0"/>
  </numFmts>
  <fonts count="7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맑은 고딕"/>
      <family val="3"/>
      <charset val="129"/>
    </font>
    <font>
      <b val="true"/>
      <sz val="18"/>
      <color rgb="FF1F3864"/>
      <name val="맑은 고딕"/>
      <family val="3"/>
      <charset val="129"/>
    </font>
    <font>
      <b val="true"/>
      <sz val="18"/>
      <color rgb="FF1F3864"/>
      <name val="WenQuanYi Zen Hei"/>
      <family val="2"/>
    </font>
    <font>
      <sz val="10"/>
      <color rgb="FF2E5496"/>
      <name val="맑은 고딕"/>
      <family val="3"/>
      <charset val="129"/>
    </font>
    <font>
      <sz val="10"/>
      <color rgb="FF2E5496"/>
      <name val="WenQuanYi Zen Hei"/>
      <family val="2"/>
    </font>
    <font>
      <i val="true"/>
      <sz val="9"/>
      <color rgb="FF595959"/>
      <name val="WenQuanYi Zen Hei"/>
      <family val="2"/>
      <charset val="1"/>
    </font>
    <font>
      <b val="true"/>
      <sz val="11"/>
      <color rgb="FFFFFFFF"/>
      <name val="맑은 고딕"/>
      <family val="3"/>
      <charset val="129"/>
    </font>
    <font>
      <b val="true"/>
      <sz val="11"/>
      <color rgb="FFFFFFFF"/>
      <name val="WenQuanYi Zen Hei"/>
      <family val="2"/>
    </font>
    <font>
      <b val="true"/>
      <sz val="10"/>
      <name val="WenQuanYi Zen Hei"/>
      <family val="2"/>
      <charset val="1"/>
    </font>
    <font>
      <sz val="10"/>
      <color rgb="FF0000FF"/>
      <name val="맑은 고딕"/>
      <family val="3"/>
      <charset val="129"/>
    </font>
    <font>
      <sz val="10"/>
      <color rgb="FF0000FF"/>
      <name val="WenQuanYi Zen Hei"/>
      <family val="2"/>
    </font>
    <font>
      <sz val="10"/>
      <color rgb="FF0000FF"/>
      <name val="WenQuanYi Zen Hei"/>
      <family val="2"/>
      <charset val="1"/>
    </font>
    <font>
      <b val="true"/>
      <sz val="10"/>
      <name val="맑은 고딕"/>
      <family val="3"/>
      <charset val="129"/>
    </font>
    <font>
      <b val="true"/>
      <sz val="10"/>
      <name val="WenQuanYi Zen Hei"/>
      <family val="2"/>
    </font>
    <font>
      <b val="true"/>
      <sz val="9"/>
      <color rgb="FF1F3864"/>
      <name val="WenQuanYi Zen Hei"/>
      <family val="2"/>
      <charset val="1"/>
    </font>
    <font>
      <sz val="9"/>
      <name val="맑은 고딕"/>
      <family val="3"/>
      <charset val="129"/>
    </font>
    <font>
      <sz val="9"/>
      <name val="WenQuanYi Zen Hei"/>
      <family val="2"/>
    </font>
    <font>
      <sz val="9"/>
      <name val="WenQuanYi Zen Hei"/>
      <family val="2"/>
      <charset val="1"/>
    </font>
    <font>
      <sz val="10"/>
      <name val="맑은 고딕"/>
      <family val="3"/>
      <charset val="129"/>
    </font>
    <font>
      <sz val="10"/>
      <name val="WenQuanYi Zen Hei"/>
      <family val="2"/>
    </font>
    <font>
      <sz val="10"/>
      <name val="WenQuanYi Zen Hei"/>
      <family val="2"/>
      <charset val="1"/>
    </font>
    <font>
      <b val="true"/>
      <sz val="9"/>
      <color rgb="FF595959"/>
      <name val="맑은 고딕"/>
      <family val="3"/>
      <charset val="129"/>
    </font>
    <font>
      <b val="true"/>
      <sz val="9"/>
      <color rgb="FF595959"/>
      <name val="WenQuanYi Zen Hei"/>
      <family val="2"/>
    </font>
    <font>
      <i val="true"/>
      <sz val="9"/>
      <color rgb="FF595959"/>
      <name val="맑은 고딕"/>
      <family val="3"/>
      <charset val="129"/>
    </font>
    <font>
      <b val="true"/>
      <sz val="10"/>
      <color rgb="FFC00000"/>
      <name val="맑은 고딕"/>
      <family val="3"/>
      <charset val="129"/>
    </font>
    <font>
      <b val="true"/>
      <sz val="12"/>
      <color rgb="FFC00000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color theme="1"/>
      <name val="WenQuanYi Zen Hei"/>
      <family val="2"/>
      <charset val="1"/>
    </font>
    <font>
      <sz val="10"/>
      <name val="Arial"/>
      <family val="2"/>
    </font>
    <font>
      <b val="true"/>
      <sz val="14"/>
      <color rgb="FF1F3864"/>
      <name val="맑은 고딕"/>
      <family val="3"/>
      <charset val="129"/>
    </font>
    <font>
      <b val="true"/>
      <sz val="14"/>
      <color rgb="FF1F3864"/>
      <name val="WenQuanYi Zen Hei"/>
      <family val="2"/>
    </font>
    <font>
      <sz val="9"/>
      <color rgb="FFC00000"/>
      <name val="WenQuanYi Zen Hei"/>
      <family val="2"/>
      <charset val="1"/>
    </font>
    <font>
      <b val="true"/>
      <sz val="10"/>
      <color rgb="FFFFFFFF"/>
      <name val="맑은 고딕"/>
      <family val="3"/>
      <charset val="129"/>
    </font>
    <font>
      <b val="true"/>
      <sz val="10"/>
      <color rgb="FFFFFFFF"/>
      <name val="WenQuanYi Zen Hei"/>
      <family val="2"/>
      <charset val="1"/>
    </font>
    <font>
      <b val="true"/>
      <sz val="9"/>
      <color rgb="FFC00000"/>
      <name val="WenQuanYi Zen Hei"/>
      <family val="2"/>
      <charset val="1"/>
    </font>
    <font>
      <sz val="9"/>
      <name val="Noto Sans CJK SC"/>
      <family val="2"/>
      <charset val="1"/>
    </font>
    <font>
      <b val="true"/>
      <sz val="9"/>
      <color rgb="FF9C0006"/>
      <name val="Noto Sans CJK SC"/>
      <family val="2"/>
      <charset val="1"/>
    </font>
    <font>
      <b val="true"/>
      <sz val="14"/>
      <color rgb="FF1F3864"/>
      <name val="WenQuanYi Zen Hei"/>
      <family val="2"/>
      <charset val="1"/>
    </font>
    <font>
      <sz val="9"/>
      <color rgb="FF595959"/>
      <name val="WenQuanYi Zen Hei"/>
      <family val="2"/>
      <charset val="1"/>
    </font>
    <font>
      <sz val="8"/>
      <color rgb="FF595959"/>
      <name val="WenQuanYi Zen Hei"/>
      <family val="2"/>
      <charset val="1"/>
    </font>
    <font>
      <sz val="8"/>
      <color rgb="FF595959"/>
      <name val="맑은 고딕"/>
      <family val="3"/>
      <charset val="129"/>
    </font>
    <font>
      <sz val="8"/>
      <color rgb="FF595959"/>
      <name val="WenQuanYi Zen Hei"/>
      <family val="2"/>
    </font>
    <font>
      <b val="true"/>
      <sz val="10"/>
      <color rgb="FF595959"/>
      <name val="맑은 고딕"/>
      <family val="3"/>
      <charset val="129"/>
    </font>
    <font>
      <b val="true"/>
      <sz val="9"/>
      <name val="맑은 고딕"/>
      <family val="3"/>
      <charset val="129"/>
    </font>
    <font>
      <b val="true"/>
      <sz val="9"/>
      <name val="WenQuanYi Zen Hei"/>
      <family val="2"/>
      <charset val="1"/>
    </font>
    <font>
      <b val="true"/>
      <sz val="9"/>
      <name val="WenQuanYi Zen Hei"/>
      <family val="2"/>
    </font>
    <font>
      <sz val="9"/>
      <color rgb="FFFF0000"/>
      <name val="맑은 고딕"/>
      <family val="3"/>
      <charset val="129"/>
    </font>
    <font>
      <i val="true"/>
      <sz val="9"/>
      <color theme="1" tint="0.4999"/>
      <name val="맑은 고딕"/>
      <family val="3"/>
      <charset val="129"/>
    </font>
    <font>
      <strike val="true"/>
      <sz val="11"/>
      <color theme="1"/>
      <name val="Calibri"/>
      <family val="2"/>
      <charset val="1"/>
    </font>
    <font>
      <b val="true"/>
      <sz val="11"/>
      <name val="WenQuanYi Zen Hei"/>
      <family val="2"/>
      <charset val="1"/>
    </font>
    <font>
      <b val="true"/>
      <sz val="11"/>
      <name val="맑은 고딕"/>
      <family val="3"/>
      <charset val="129"/>
    </font>
    <font>
      <sz val="9"/>
      <color rgb="FF595959"/>
      <name val="맑은 고딕"/>
      <family val="3"/>
      <charset val="129"/>
    </font>
    <font>
      <sz val="9"/>
      <color rgb="FF595959"/>
      <name val="WenQuanYi Zen Hei"/>
      <family val="2"/>
    </font>
    <font>
      <i val="true"/>
      <sz val="9"/>
      <color rgb="FF808080"/>
      <name val="맑은 고딕"/>
      <family val="3"/>
      <charset val="129"/>
    </font>
    <font>
      <i val="true"/>
      <sz val="9"/>
      <color rgb="FF808080"/>
      <name val="WenQuanYi Zen Hei"/>
      <family val="2"/>
    </font>
    <font>
      <i val="true"/>
      <sz val="9"/>
      <color rgb="FF808080"/>
      <name val="WenQuanYi Zen Hei"/>
      <family val="2"/>
      <charset val="1"/>
    </font>
    <font>
      <b val="true"/>
      <sz val="9"/>
      <color rgb="FF0000FF"/>
      <name val="Noto Sans CJK SC"/>
      <family val="2"/>
      <charset val="1"/>
    </font>
    <font>
      <b val="true"/>
      <sz val="9"/>
      <color rgb="FF0000FF"/>
      <name val="맑은 고딕"/>
      <family val="3"/>
      <charset val="129"/>
    </font>
    <font>
      <b val="true"/>
      <sz val="11"/>
      <color rgb="FFC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9"/>
      <color rgb="FFC00000"/>
      <name val="WenQuanYi Zen Hei"/>
      <family val="2"/>
    </font>
    <font>
      <b val="true"/>
      <sz val="9"/>
      <color rgb="FF1F3864"/>
      <name val="맑은 고딕"/>
      <family val="3"/>
      <charset val="129"/>
    </font>
    <font>
      <b val="true"/>
      <sz val="9"/>
      <color rgb="FF1F3864"/>
      <name val="WenQuanYi Zen Hei"/>
      <family val="2"/>
    </font>
    <font>
      <b val="true"/>
      <sz val="10"/>
      <color rgb="FF1F3864"/>
      <name val="맑은 고딕"/>
      <family val="3"/>
      <charset val="129"/>
    </font>
    <font>
      <b val="true"/>
      <sz val="10"/>
      <color rgb="FF1F3864"/>
      <name val="WenQuanYi Zen Hei"/>
      <family val="2"/>
    </font>
    <font>
      <b val="true"/>
      <sz val="12"/>
      <name val="WenQuanYi Zen Hei"/>
      <family val="2"/>
    </font>
    <font>
      <b val="true"/>
      <sz val="12"/>
      <name val="Cambria"/>
      <family val="0"/>
      <charset val="1"/>
    </font>
    <font>
      <sz val="11"/>
      <color theme="1"/>
      <name val="WenQuanYi Zen Hei"/>
      <family val="2"/>
    </font>
    <font>
      <b val="true"/>
      <sz val="11"/>
      <color rgb="FFFFFFFF"/>
      <name val="Cambria"/>
      <family val="0"/>
      <charset val="1"/>
    </font>
    <font>
      <sz val="9"/>
      <name val="맑은 고딕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5496"/>
        <bgColor rgb="FF1F4E78"/>
      </patternFill>
    </fill>
    <fill>
      <patternFill patternType="solid">
        <fgColor rgb="FFF2F2F2"/>
        <bgColor rgb="FFEDF3E7"/>
      </patternFill>
    </fill>
    <fill>
      <patternFill patternType="solid">
        <fgColor rgb="FFFFF2CC"/>
        <bgColor rgb="FFFCE4D6"/>
      </patternFill>
    </fill>
    <fill>
      <patternFill patternType="solid">
        <fgColor rgb="FF7030A0"/>
        <bgColor rgb="FF993366"/>
      </patternFill>
    </fill>
    <fill>
      <patternFill patternType="solid">
        <fgColor rgb="FFD9E2F3"/>
        <bgColor rgb="FFD9D2E9"/>
      </patternFill>
    </fill>
    <fill>
      <patternFill patternType="solid">
        <fgColor rgb="FFC00000"/>
        <bgColor rgb="FF9C0006"/>
      </patternFill>
    </fill>
    <fill>
      <patternFill patternType="solid">
        <fgColor rgb="FFC6E0B4"/>
        <bgColor rgb="FFBDD7EE"/>
      </patternFill>
    </fill>
    <fill>
      <patternFill patternType="solid">
        <fgColor rgb="FFBDD7EE"/>
        <bgColor rgb="FFD9D2E9"/>
      </patternFill>
    </fill>
    <fill>
      <patternFill patternType="solid">
        <fgColor rgb="FFFBE2D5"/>
        <bgColor rgb="FFFCE4D6"/>
      </patternFill>
    </fill>
    <fill>
      <patternFill patternType="solid">
        <fgColor rgb="FFFFC000"/>
        <bgColor rgb="FFFFFF00"/>
      </patternFill>
    </fill>
    <fill>
      <patternFill patternType="solid">
        <fgColor rgb="FFD9D2E9"/>
        <bgColor rgb="FFD9E2F3"/>
      </patternFill>
    </fill>
    <fill>
      <patternFill patternType="solid">
        <fgColor rgb="FFEDF3E7"/>
        <bgColor rgb="FFF2F2F2"/>
      </patternFill>
    </fill>
    <fill>
      <patternFill patternType="solid">
        <fgColor rgb="FFBF8F00"/>
        <bgColor rgb="FF808000"/>
      </patternFill>
    </fill>
    <fill>
      <patternFill patternType="solid">
        <fgColor rgb="FFE2EFDA"/>
        <bgColor rgb="FFEDF3E7"/>
      </patternFill>
    </fill>
    <fill>
      <patternFill patternType="solid">
        <fgColor rgb="FFFCE4D6"/>
        <bgColor rgb="FFFBE2D5"/>
      </patternFill>
    </fill>
    <fill>
      <patternFill patternType="solid">
        <fgColor rgb="FF1F4E78"/>
        <bgColor rgb="FF2E54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5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4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2" fillId="1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DF3E7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BE2D5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2E549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E7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DF3E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E2EFDA"/>
      <rgbColor rgb="FFFCE4D6"/>
      <rgbColor rgb="FFBDD7EE"/>
      <rgbColor rgb="FFC6E0B4"/>
      <rgbColor rgb="FFD9E2F3"/>
      <rgbColor rgb="FFFBE2D5"/>
      <rgbColor rgb="FF3366FF"/>
      <rgbColor rgb="FF33CCCC"/>
      <rgbColor rgb="FF99CC00"/>
      <rgbColor rgb="FFFFC000"/>
      <rgbColor rgb="FFBF8F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2E5496"/>
      <rgbColor rgb="FF1F4E7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51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E16" activeCellId="0" sqref="E16"/>
    </sheetView>
  </sheetViews>
  <sheetFormatPr defaultColWidth="8.5703125" defaultRowHeight="16.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.71"/>
    <col collapsed="false" customWidth="true" hidden="false" outlineLevel="0" max="3" min="3" style="1" width="35.14"/>
    <col collapsed="false" customWidth="true" hidden="false" outlineLevel="0" max="4" min="4" style="1" width="16"/>
    <col collapsed="false" customWidth="true" hidden="false" outlineLevel="0" max="5" min="5" style="1" width="24"/>
    <col collapsed="false" customWidth="true" hidden="false" outlineLevel="0" max="6" min="6" style="1" width="16"/>
    <col collapsed="false" customWidth="true" hidden="false" outlineLevel="0" max="7" min="7" style="1" width="53.71"/>
    <col collapsed="false" customWidth="true" hidden="false" outlineLevel="0" max="8" min="8" style="1" width="3"/>
    <col collapsed="false" customWidth="false" hidden="false" outlineLevel="0" max="16384" min="9" style="1" width="8.57"/>
  </cols>
  <sheetData>
    <row r="2" customFormat="false" ht="27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5" customFormat="false" ht="5.25" hidden="false" customHeight="true" outlineLevel="0" collapsed="false"/>
    <row r="6" customFormat="false" ht="16.5" hidden="false" customHeight="true" outlineLevel="0" collapsed="false">
      <c r="B6" s="5" t="s">
        <v>3</v>
      </c>
      <c r="C6" s="6"/>
      <c r="D6" s="6"/>
      <c r="E6" s="6"/>
      <c r="F6" s="6"/>
      <c r="G6" s="6"/>
    </row>
    <row r="7" customFormat="false" ht="30" hidden="false" customHeight="true" outlineLevel="0" collapsed="false">
      <c r="B7" s="7" t="s">
        <v>4</v>
      </c>
      <c r="C7" s="8" t="s">
        <v>5</v>
      </c>
      <c r="D7" s="7" t="s">
        <v>6</v>
      </c>
      <c r="E7" s="9" t="s">
        <v>7</v>
      </c>
      <c r="F7" s="9"/>
      <c r="G7" s="9"/>
    </row>
    <row r="8" customFormat="false" ht="30" hidden="false" customHeight="true" outlineLevel="0" collapsed="false">
      <c r="B8" s="7" t="s">
        <v>8</v>
      </c>
      <c r="C8" s="9" t="s">
        <v>9</v>
      </c>
      <c r="D8" s="7" t="s">
        <v>10</v>
      </c>
      <c r="E8" s="9" t="s">
        <v>11</v>
      </c>
      <c r="F8" s="9"/>
      <c r="G8" s="9"/>
    </row>
    <row r="9" customFormat="false" ht="30" hidden="false" customHeight="true" outlineLevel="0" collapsed="false">
      <c r="B9" s="7" t="s">
        <v>12</v>
      </c>
      <c r="C9" s="10" t="n">
        <v>617500000</v>
      </c>
      <c r="D9" s="7" t="s">
        <v>13</v>
      </c>
      <c r="E9" s="9" t="s">
        <v>14</v>
      </c>
      <c r="F9" s="9"/>
      <c r="G9" s="9"/>
    </row>
    <row r="10" customFormat="false" ht="30" hidden="false" customHeight="true" outlineLevel="0" collapsed="false">
      <c r="B10" s="7" t="s">
        <v>15</v>
      </c>
      <c r="C10" s="11" t="s">
        <v>16</v>
      </c>
      <c r="D10" s="7" t="s">
        <v>17</v>
      </c>
      <c r="E10" s="9" t="s">
        <v>18</v>
      </c>
      <c r="F10" s="9"/>
      <c r="G10" s="9"/>
    </row>
    <row r="11" customFormat="false" ht="30" hidden="false" customHeight="true" outlineLevel="0" collapsed="false">
      <c r="B11" s="7" t="s">
        <v>19</v>
      </c>
      <c r="C11" s="11" t="s">
        <v>20</v>
      </c>
      <c r="D11" s="7" t="s">
        <v>21</v>
      </c>
      <c r="E11" s="8" t="s">
        <v>20</v>
      </c>
      <c r="F11" s="8"/>
      <c r="G11" s="8"/>
    </row>
    <row r="12" customFormat="false" ht="30" hidden="false" customHeight="true" outlineLevel="0" collapsed="false">
      <c r="B12" s="7" t="s">
        <v>22</v>
      </c>
      <c r="C12" s="9" t="s">
        <v>23</v>
      </c>
      <c r="D12" s="7" t="s">
        <v>24</v>
      </c>
      <c r="E12" s="9" t="s">
        <v>25</v>
      </c>
      <c r="F12" s="9"/>
      <c r="G12" s="9"/>
    </row>
    <row r="13" customFormat="false" ht="30" hidden="false" customHeight="true" outlineLevel="0" collapsed="false">
      <c r="B13" s="7" t="s">
        <v>26</v>
      </c>
      <c r="C13" s="8" t="s">
        <v>27</v>
      </c>
      <c r="D13" s="7" t="s">
        <v>28</v>
      </c>
      <c r="E13" s="8"/>
      <c r="F13" s="8"/>
      <c r="G13" s="8"/>
    </row>
    <row r="14" customFormat="false" ht="30" hidden="false" customHeight="true" outlineLevel="0" collapsed="false">
      <c r="B14" s="7" t="s">
        <v>29</v>
      </c>
      <c r="C14" s="12"/>
      <c r="D14" s="13" t="s">
        <v>30</v>
      </c>
      <c r="E14" s="8" t="s">
        <v>31</v>
      </c>
      <c r="F14" s="8"/>
      <c r="G14" s="8"/>
    </row>
    <row r="15" customFormat="false" ht="33.75" hidden="false" customHeight="true" outlineLevel="0" collapsed="false">
      <c r="B15" s="7" t="s">
        <v>32</v>
      </c>
      <c r="C15" s="9" t="s">
        <v>33</v>
      </c>
      <c r="D15" s="7" t="s">
        <v>34</v>
      </c>
      <c r="E15" s="9" t="s">
        <v>35</v>
      </c>
      <c r="F15" s="9"/>
      <c r="G15" s="9"/>
    </row>
    <row r="17" customFormat="false" ht="16.5" hidden="false" customHeight="true" outlineLevel="0" collapsed="false">
      <c r="B17" s="14" t="s">
        <v>36</v>
      </c>
      <c r="C17" s="15"/>
      <c r="D17" s="15"/>
      <c r="E17" s="15"/>
      <c r="F17" s="15"/>
      <c r="G17" s="15"/>
    </row>
    <row r="18" customFormat="false" ht="15" hidden="false" customHeight="true" outlineLevel="0" collapsed="false">
      <c r="B18" s="16" t="s">
        <v>37</v>
      </c>
      <c r="C18" s="16" t="s">
        <v>38</v>
      </c>
      <c r="D18" s="16" t="s">
        <v>39</v>
      </c>
      <c r="E18" s="16" t="s">
        <v>40</v>
      </c>
      <c r="F18" s="16" t="s">
        <v>41</v>
      </c>
      <c r="G18" s="16" t="s">
        <v>42</v>
      </c>
    </row>
    <row r="19" customFormat="false" ht="15" hidden="false" customHeight="true" outlineLevel="0" collapsed="false">
      <c r="B19" s="17" t="s">
        <v>43</v>
      </c>
      <c r="C19" s="18" t="s">
        <v>44</v>
      </c>
      <c r="D19" s="19" t="n">
        <f aca="false">'② 입찰 적격성'!D5</f>
        <v>0</v>
      </c>
      <c r="E19" s="20" t="s">
        <v>45</v>
      </c>
      <c r="F19" s="21" t="str">
        <f aca="false">IF(COUNTA('② 입찰 적격성'!D8:D60)=0,"미산정",IF(D19=0,"통과","불참"))</f>
        <v>미산정</v>
      </c>
      <c r="G19" s="17" t="s">
        <v>46</v>
      </c>
    </row>
    <row r="20" customFormat="false" ht="26.25" hidden="false" customHeight="true" outlineLevel="0" collapsed="false">
      <c r="B20" s="17" t="s">
        <v>47</v>
      </c>
      <c r="C20" s="18" t="s">
        <v>48</v>
      </c>
      <c r="D20" s="19" t="n">
        <f aca="false">COUNTIF('③ 요구사항 검토'!O6:O300,"X")</f>
        <v>0</v>
      </c>
      <c r="E20" s="20" t="s">
        <v>45</v>
      </c>
      <c r="F20" s="21" t="str">
        <f aca="false">IF($C$28=0,"미산정",IF(D20=0,"통과","조건부"))</f>
        <v>통과</v>
      </c>
      <c r="G20" s="17" t="s">
        <v>49</v>
      </c>
    </row>
    <row r="21" customFormat="false" ht="26.25" hidden="false" customHeight="true" outlineLevel="0" collapsed="false">
      <c r="B21" s="17"/>
      <c r="C21" s="18" t="s">
        <v>50</v>
      </c>
      <c r="D21" s="22" t="n">
        <f aca="false">IFERROR(COUNTIF('③ 요구사항 검토'!O6:O300,"△")/MAX(1,COUNTA('③ 요구사항 검토'!C6:C300)),0)</f>
        <v>0</v>
      </c>
      <c r="E21" s="20" t="s">
        <v>51</v>
      </c>
      <c r="F21" s="21" t="str">
        <f aca="false">IF($C$28=0,"미산정",IF(D21&lt;=0.4,"통과","주의"))</f>
        <v>통과</v>
      </c>
      <c r="G21" s="18" t="s">
        <v>52</v>
      </c>
    </row>
    <row r="22" customFormat="false" ht="26.25" hidden="false" customHeight="true" outlineLevel="0" collapsed="false">
      <c r="B22" s="17" t="s">
        <v>53</v>
      </c>
      <c r="C22" s="18" t="s">
        <v>54</v>
      </c>
      <c r="D22" s="22" t="n">
        <f aca="false">'⑥ 손익 시나리오'!D33</f>
        <v>0</v>
      </c>
      <c r="E22" s="20" t="s">
        <v>55</v>
      </c>
      <c r="F22" s="21" t="str">
        <f aca="false">IF('⑥ 손익 시나리오'!$D$10=0,"미산정",IF(D22&gt;=0.15,"통과",IF(D22&gt;=0.05,"조건부","불참")))</f>
        <v>미산정</v>
      </c>
      <c r="G22" s="17" t="s">
        <v>56</v>
      </c>
    </row>
    <row r="23" customFormat="false" ht="15" hidden="false" customHeight="true" outlineLevel="0" collapsed="false">
      <c r="B23" s="17"/>
      <c r="C23" s="18" t="s">
        <v>57</v>
      </c>
      <c r="D23" s="22" t="n">
        <f aca="false">'⑥ 손익 시나리오'!D35</f>
        <v>0</v>
      </c>
      <c r="E23" s="20" t="s">
        <v>58</v>
      </c>
      <c r="F23" s="21" t="str">
        <f aca="false">IF('⑥ 손익 시나리오'!$D$10=0,"미산정",IF(D23&gt;=0.05,"통과","주의"))</f>
        <v>미산정</v>
      </c>
      <c r="G23" s="18" t="s">
        <v>59</v>
      </c>
    </row>
    <row r="24" customFormat="false" ht="26.25" hidden="false" customHeight="true" outlineLevel="0" collapsed="false">
      <c r="B24" s="17" t="s">
        <v>60</v>
      </c>
      <c r="C24" s="18" t="s">
        <v>61</v>
      </c>
      <c r="D24" s="19" t="n">
        <f aca="false">COUNTIF('④ 리스크 및 고려사항'!H:H,"최상")</f>
        <v>0</v>
      </c>
      <c r="E24" s="20" t="s">
        <v>62</v>
      </c>
      <c r="F24" s="21" t="str">
        <f aca="false">IF(COUNTA('④ 리스크 및 고려사항'!C5:C54)=0,"미산정",IF(D24&lt;=3,"통과","주의"))</f>
        <v>미산정</v>
      </c>
      <c r="G24" s="18" t="s">
        <v>63</v>
      </c>
    </row>
    <row r="25" customFormat="false" ht="26.25" hidden="false" customHeight="true" outlineLevel="0" collapsed="false">
      <c r="B25" s="17"/>
      <c r="C25" s="18" t="s">
        <v>64</v>
      </c>
      <c r="D25" s="19" t="n">
        <f aca="false">COUNTIFS('⑤ 확인사항·질의'!G:G,"최우선",'⑤ 확인사항·질의'!H:H,"&lt;&gt;완료")</f>
        <v>0</v>
      </c>
      <c r="E25" s="20" t="s">
        <v>45</v>
      </c>
      <c r="F25" s="21" t="str">
        <f aca="false">IF(COUNTA('⑤ 확인사항·질의'!C5:C54)=0,"미산정",IF(D25=0,"통과","보류"))</f>
        <v>미산정</v>
      </c>
      <c r="G25" s="18" t="s">
        <v>65</v>
      </c>
    </row>
    <row r="27" customFormat="false" ht="16.5" hidden="false" customHeight="true" outlineLevel="0" collapsed="false">
      <c r="B27" s="5" t="s">
        <v>66</v>
      </c>
      <c r="C27" s="6"/>
      <c r="D27" s="6"/>
      <c r="E27" s="6"/>
      <c r="F27" s="6"/>
      <c r="G27" s="6"/>
    </row>
    <row r="28" customFormat="false" ht="15" hidden="false" customHeight="true" outlineLevel="0" collapsed="false">
      <c r="B28" s="23" t="s">
        <v>67</v>
      </c>
      <c r="C28" s="24" t="n">
        <f aca="false">IFERROR(SUMPRODUCT(('③ 요구사항 검토'!C6:C300&lt;&gt;"")/COUNTIF('③ 요구사항 검토'!C6:C300,'③ 요구사항 검토'!C6:C300&amp;"")),0)</f>
        <v>62</v>
      </c>
      <c r="D28" s="23" t="s">
        <v>68</v>
      </c>
      <c r="E28" s="24" t="n">
        <f aca="false">COUNTA('③ 요구사항 검토'!C6:C300)</f>
        <v>261</v>
      </c>
      <c r="F28" s="25"/>
      <c r="G28" s="25"/>
    </row>
    <row r="29" customFormat="false" ht="15" hidden="false" customHeight="true" outlineLevel="0" collapsed="false">
      <c r="B29" s="23" t="s">
        <v>69</v>
      </c>
      <c r="C29" s="24" t="n">
        <f aca="false">COUNTIF('③ 요구사항 검토'!J6:J300,"F1*")+COUNTIF('③ 요구사항 검토'!J6:J300,"F2*")</f>
        <v>0</v>
      </c>
      <c r="D29" s="23" t="s">
        <v>70</v>
      </c>
      <c r="E29" s="24" t="n">
        <f aca="false">COUNTIF('③ 요구사항 검토'!J6:J300,"F3*")</f>
        <v>0</v>
      </c>
      <c r="F29" s="25"/>
      <c r="G29" s="25"/>
    </row>
    <row r="30" customFormat="false" ht="15" hidden="false" customHeight="true" outlineLevel="0" collapsed="false">
      <c r="B30" s="23" t="s">
        <v>71</v>
      </c>
      <c r="C30" s="24" t="n">
        <f aca="false">COUNTIF('③ 요구사항 검토'!J6:J300,"F4*")</f>
        <v>0</v>
      </c>
      <c r="D30" s="23" t="s">
        <v>72</v>
      </c>
      <c r="E30" s="26" t="str">
        <f aca="false">COUNTIF('③ 요구사항 검토'!O6:O300,"O")&amp;" / "&amp;COUNTIF('③ 요구사항 검토'!O6:O300,"△")&amp;" / "&amp;COUNTIF('③ 요구사항 검토'!O6:O300,"X")</f>
        <v>0 / 0 / 0</v>
      </c>
      <c r="F30" s="25"/>
      <c r="G30" s="25"/>
    </row>
    <row r="31" customFormat="false" ht="16.5" hidden="false" customHeight="false" outlineLevel="0" collapsed="false">
      <c r="B31" s="27"/>
      <c r="C31" s="27"/>
      <c r="D31" s="27"/>
      <c r="E31" s="27"/>
    </row>
    <row r="32" customFormat="false" ht="16.5" hidden="false" customHeight="true" outlineLevel="0" collapsed="false">
      <c r="B32" s="5" t="s">
        <v>73</v>
      </c>
      <c r="C32" s="6"/>
      <c r="D32" s="6"/>
      <c r="E32" s="6"/>
      <c r="F32" s="6"/>
      <c r="G32" s="6"/>
    </row>
    <row r="33" customFormat="false" ht="15" hidden="false" customHeight="true" outlineLevel="0" collapsed="false">
      <c r="B33" s="16" t="s">
        <v>74</v>
      </c>
      <c r="C33" s="16" t="s">
        <v>75</v>
      </c>
      <c r="D33" s="16" t="s">
        <v>76</v>
      </c>
      <c r="E33" s="16" t="s">
        <v>77</v>
      </c>
      <c r="F33" s="16" t="s">
        <v>78</v>
      </c>
      <c r="G33" s="16" t="s">
        <v>42</v>
      </c>
    </row>
    <row r="34" customFormat="false" ht="30" hidden="false" customHeight="true" outlineLevel="0" collapsed="false">
      <c r="B34" s="28" t="s">
        <v>79</v>
      </c>
      <c r="C34" s="29" t="n">
        <f aca="false">SUM('③ 요구사항 검토'!T6:T300)</f>
        <v>0</v>
      </c>
      <c r="D34" s="30" t="n">
        <f aca="false">IFERROR(C34/$C$38,0)</f>
        <v>0</v>
      </c>
      <c r="E34" s="31"/>
      <c r="F34" s="32" t="n">
        <f aca="false">C34*E34</f>
        <v>0</v>
      </c>
      <c r="G34" s="33" t="s">
        <v>80</v>
      </c>
    </row>
    <row r="35" customFormat="false" ht="30" hidden="false" customHeight="true" outlineLevel="0" collapsed="false">
      <c r="B35" s="34" t="s">
        <v>81</v>
      </c>
      <c r="C35" s="35" t="n">
        <f aca="false">SUM('③ 요구사항 검토'!L6:L300)</f>
        <v>0</v>
      </c>
      <c r="D35" s="30" t="n">
        <f aca="false">IFERROR(C35/$C$38,0)</f>
        <v>0</v>
      </c>
      <c r="E35" s="31"/>
      <c r="F35" s="32" t="n">
        <f aca="false">C35*E35</f>
        <v>0</v>
      </c>
      <c r="G35" s="36" t="s">
        <v>82</v>
      </c>
    </row>
    <row r="36" customFormat="false" ht="30" hidden="false" customHeight="true" outlineLevel="0" collapsed="false">
      <c r="B36" s="28" t="s">
        <v>83</v>
      </c>
      <c r="C36" s="29" t="n">
        <f aca="false">SUM('③ 요구사항 검토'!W6:W300)</f>
        <v>0</v>
      </c>
      <c r="D36" s="30" t="n">
        <f aca="false">IFERROR(C36/$C$38,0)</f>
        <v>0</v>
      </c>
      <c r="E36" s="31"/>
      <c r="F36" s="32" t="n">
        <f aca="false">C36*E36</f>
        <v>0</v>
      </c>
      <c r="G36" s="37" t="s">
        <v>84</v>
      </c>
    </row>
    <row r="37" customFormat="false" ht="30" hidden="false" customHeight="true" outlineLevel="0" collapsed="false">
      <c r="B37" s="34" t="s">
        <v>85</v>
      </c>
      <c r="C37" s="29" t="n">
        <f aca="false">SUM('③ 요구사항 검토'!U6:U300)</f>
        <v>0</v>
      </c>
      <c r="D37" s="30" t="n">
        <f aca="false">IFERROR(C37/$C$38,0)</f>
        <v>0</v>
      </c>
      <c r="E37" s="31"/>
      <c r="F37" s="32" t="n">
        <f aca="false">C37*E37</f>
        <v>0</v>
      </c>
      <c r="G37" s="36" t="s">
        <v>86</v>
      </c>
    </row>
    <row r="38" customFormat="false" ht="30" hidden="false" customHeight="true" outlineLevel="0" collapsed="false">
      <c r="B38" s="38" t="s">
        <v>87</v>
      </c>
      <c r="C38" s="39" t="n">
        <f aca="false">SUM(C34:C37)</f>
        <v>0</v>
      </c>
      <c r="D38" s="40" t="n">
        <f aca="false">IFERROR(SUM(D34:D37),0)</f>
        <v>0</v>
      </c>
      <c r="E38" s="41"/>
      <c r="F38" s="41" t="n">
        <f aca="false">SUM(F34:F37)</f>
        <v>0</v>
      </c>
      <c r="G38" s="38"/>
    </row>
    <row r="39" customFormat="false" ht="25.5" hidden="false" customHeight="true" outlineLevel="0" collapsed="false">
      <c r="B39" s="7" t="s">
        <v>88</v>
      </c>
      <c r="C39" s="40" t="n">
        <f aca="false">IFERROR(F37/F38,0)</f>
        <v>0</v>
      </c>
      <c r="D39" s="42" t="s">
        <v>89</v>
      </c>
      <c r="E39" s="42"/>
      <c r="F39" s="42"/>
      <c r="G39" s="42"/>
    </row>
    <row r="40" customFormat="false" ht="30" hidden="false" customHeight="true" outlineLevel="0" collapsed="false">
      <c r="B40" s="43" t="s">
        <v>90</v>
      </c>
      <c r="C40" s="44" t="n">
        <f aca="false">SUM('③ 요구사항 검토'!H6:H300)</f>
        <v>0</v>
      </c>
      <c r="D40" s="45" t="s">
        <v>91</v>
      </c>
      <c r="E40" s="46" t="n">
        <f aca="false">C38-C40</f>
        <v>0</v>
      </c>
      <c r="F40" s="47" t="n">
        <f aca="false">IFERROR(E40/C40,0)</f>
        <v>0</v>
      </c>
      <c r="G40" s="48" t="s">
        <v>92</v>
      </c>
    </row>
    <row r="42" customFormat="false" ht="16.5" hidden="false" customHeight="true" outlineLevel="0" collapsed="false">
      <c r="B42" s="49" t="s">
        <v>93</v>
      </c>
      <c r="C42" s="50"/>
      <c r="D42" s="50"/>
      <c r="E42" s="50"/>
      <c r="F42" s="50"/>
      <c r="G42" s="50"/>
    </row>
    <row r="43" customFormat="false" ht="25.5" hidden="false" customHeight="true" outlineLevel="0" collapsed="false">
      <c r="B43" s="13" t="s">
        <v>94</v>
      </c>
      <c r="C43" s="51"/>
      <c r="D43" s="7" t="s">
        <v>95</v>
      </c>
      <c r="E43" s="12"/>
      <c r="F43" s="12"/>
      <c r="G43" s="12"/>
    </row>
    <row r="44" customFormat="false" ht="48" hidden="false" customHeight="true" outlineLevel="0" collapsed="false">
      <c r="B44" s="7" t="s">
        <v>96</v>
      </c>
      <c r="C44" s="12"/>
      <c r="D44" s="7" t="s">
        <v>97</v>
      </c>
      <c r="E44" s="12"/>
      <c r="F44" s="12"/>
      <c r="G44" s="12"/>
    </row>
    <row r="45" customFormat="false" ht="33.75" hidden="false" customHeight="true" outlineLevel="0" collapsed="false">
      <c r="B45" s="52" t="s">
        <v>98</v>
      </c>
      <c r="C45" s="53"/>
      <c r="D45" s="53"/>
      <c r="E45" s="53"/>
      <c r="F45" s="53"/>
      <c r="G45" s="53"/>
    </row>
    <row r="46" customFormat="false" ht="33.75" hidden="false" customHeight="true" outlineLevel="0" collapsed="false">
      <c r="B46" s="25"/>
      <c r="C46" s="53"/>
      <c r="D46" s="53"/>
      <c r="E46" s="53"/>
      <c r="F46" s="53"/>
      <c r="G46" s="53"/>
    </row>
    <row r="47" customFormat="false" ht="33.75" hidden="false" customHeight="true" outlineLevel="0" collapsed="false">
      <c r="B47" s="25"/>
      <c r="C47" s="53"/>
      <c r="D47" s="53"/>
      <c r="E47" s="53"/>
      <c r="F47" s="53"/>
      <c r="G47" s="53"/>
    </row>
    <row r="48" customFormat="false" ht="34.5" hidden="false" customHeight="true" outlineLevel="0" collapsed="false">
      <c r="B48" s="52" t="s">
        <v>99</v>
      </c>
      <c r="C48" s="53"/>
      <c r="D48" s="53"/>
      <c r="E48" s="53"/>
      <c r="F48" s="53"/>
      <c r="G48" s="53"/>
    </row>
    <row r="49" customFormat="false" ht="34.5" hidden="false" customHeight="true" outlineLevel="0" collapsed="false">
      <c r="B49" s="25"/>
      <c r="C49" s="53"/>
      <c r="D49" s="53"/>
      <c r="E49" s="53"/>
      <c r="F49" s="53"/>
      <c r="G49" s="53"/>
    </row>
    <row r="50" customFormat="false" ht="34.5" hidden="false" customHeight="true" outlineLevel="0" collapsed="false">
      <c r="B50" s="25"/>
      <c r="C50" s="53"/>
      <c r="D50" s="53"/>
      <c r="E50" s="53"/>
      <c r="F50" s="53"/>
      <c r="G50" s="53"/>
    </row>
    <row r="51" customFormat="false" ht="16.5" hidden="false" customHeight="true" outlineLevel="0" collapsed="false">
      <c r="B51" s="54" t="s">
        <v>100</v>
      </c>
    </row>
  </sheetData>
  <mergeCells count="14"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D39:G39"/>
    <mergeCell ref="E43:G43"/>
    <mergeCell ref="E44:G44"/>
    <mergeCell ref="C45:G47"/>
    <mergeCell ref="C48:G50"/>
  </mergeCells>
  <dataValidations count="1">
    <dataValidation allowBlank="true" errorStyle="stop" operator="between" showDropDown="false" showErrorMessage="false" showInputMessage="false" sqref="C43" type="list">
      <formula1>"참여,조건부참여,보류,불참"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8.5703125" defaultRowHeight="15" zeroHeight="false" outlineLevelRow="0" outlineLevelCol="0"/>
  <cols>
    <col collapsed="false" customWidth="true" hidden="false" outlineLevel="0" max="1" min="1" style="55" width="4"/>
    <col collapsed="false" customWidth="true" hidden="false" outlineLevel="0" max="2" min="2" style="55" width="16"/>
    <col collapsed="false" customWidth="true" hidden="false" outlineLevel="0" max="3" min="3" style="55" width="49"/>
    <col collapsed="false" customWidth="true" hidden="false" outlineLevel="0" max="4" min="4" style="55" width="12"/>
    <col collapsed="false" customWidth="true" hidden="false" outlineLevel="0" max="5" min="5" style="55" width="34.14"/>
    <col collapsed="false" customWidth="true" hidden="false" outlineLevel="0" max="6" min="6" style="55" width="96.71"/>
    <col collapsed="false" customWidth="true" hidden="false" outlineLevel="0" max="7" min="7" style="55" width="3"/>
  </cols>
  <sheetData>
    <row r="2" customFormat="false" ht="21" hidden="false" customHeight="true" outlineLevel="0" collapsed="false">
      <c r="B2" s="56" t="s">
        <v>101</v>
      </c>
    </row>
    <row r="3" customFormat="false" ht="15" hidden="false" customHeight="true" outlineLevel="0" collapsed="false">
      <c r="B3" s="57" t="s">
        <v>102</v>
      </c>
    </row>
    <row r="5" customFormat="false" ht="15" hidden="false" customHeight="true" outlineLevel="0" collapsed="false">
      <c r="C5" s="58" t="s">
        <v>103</v>
      </c>
      <c r="D5" s="59" t="n">
        <f aca="false">COUNTIFS(B8:B60,"필수",D8:D60,"미충족")</f>
        <v>0</v>
      </c>
    </row>
    <row r="7" customFormat="false" ht="15" hidden="false" customHeight="true" outlineLevel="0" collapsed="false">
      <c r="A7" s="60" t="s">
        <v>104</v>
      </c>
      <c r="B7" s="61" t="s">
        <v>105</v>
      </c>
      <c r="C7" s="61" t="s">
        <v>106</v>
      </c>
      <c r="D7" s="61" t="s">
        <v>107</v>
      </c>
      <c r="E7" s="61" t="s">
        <v>108</v>
      </c>
      <c r="F7" s="61" t="s">
        <v>109</v>
      </c>
    </row>
    <row r="8" customFormat="false" ht="26.25" hidden="false" customHeight="true" outlineLevel="0" collapsed="false">
      <c r="A8" s="20" t="n">
        <v>1</v>
      </c>
      <c r="B8" s="62" t="s">
        <v>110</v>
      </c>
      <c r="C8" s="18" t="s">
        <v>111</v>
      </c>
      <c r="D8" s="63"/>
      <c r="E8" s="64"/>
      <c r="F8" s="65"/>
    </row>
    <row r="9" customFormat="false" ht="26.25" hidden="false" customHeight="true" outlineLevel="0" collapsed="false">
      <c r="A9" s="20" t="n">
        <v>2</v>
      </c>
      <c r="B9" s="62" t="s">
        <v>110</v>
      </c>
      <c r="C9" s="18" t="s">
        <v>112</v>
      </c>
      <c r="D9" s="63"/>
      <c r="E9" s="64"/>
      <c r="F9" s="66"/>
    </row>
    <row r="10" customFormat="false" ht="15" hidden="false" customHeight="true" outlineLevel="0" collapsed="false">
      <c r="A10" s="20" t="n">
        <v>3</v>
      </c>
      <c r="B10" s="62" t="s">
        <v>110</v>
      </c>
      <c r="C10" s="18" t="s">
        <v>113</v>
      </c>
      <c r="D10" s="63"/>
      <c r="E10" s="64"/>
      <c r="F10" s="66"/>
    </row>
    <row r="11" customFormat="false" ht="15" hidden="false" customHeight="true" outlineLevel="0" collapsed="false">
      <c r="A11" s="20" t="n">
        <v>4</v>
      </c>
      <c r="B11" s="62" t="s">
        <v>110</v>
      </c>
      <c r="C11" s="18" t="s">
        <v>114</v>
      </c>
      <c r="D11" s="63"/>
      <c r="E11" s="64"/>
      <c r="F11" s="66"/>
    </row>
    <row r="12" customFormat="false" ht="15" hidden="false" customHeight="true" outlineLevel="0" collapsed="false">
      <c r="A12" s="20" t="n">
        <v>5</v>
      </c>
      <c r="B12" s="62" t="s">
        <v>110</v>
      </c>
      <c r="C12" s="18" t="s">
        <v>115</v>
      </c>
      <c r="D12" s="63"/>
      <c r="E12" s="64"/>
      <c r="F12" s="66"/>
    </row>
    <row r="13" customFormat="false" ht="28.5" hidden="false" customHeight="true" outlineLevel="0" collapsed="false">
      <c r="A13" s="20" t="n">
        <v>6</v>
      </c>
      <c r="B13" s="62" t="s">
        <v>110</v>
      </c>
      <c r="C13" s="18" t="s">
        <v>116</v>
      </c>
      <c r="D13" s="63"/>
      <c r="E13" s="64"/>
      <c r="F13" s="65"/>
    </row>
    <row r="14" customFormat="false" ht="15" hidden="false" customHeight="true" outlineLevel="0" collapsed="false">
      <c r="A14" s="20" t="n">
        <v>7</v>
      </c>
      <c r="B14" s="67" t="s">
        <v>117</v>
      </c>
      <c r="C14" s="18" t="s">
        <v>118</v>
      </c>
      <c r="D14" s="63"/>
      <c r="E14" s="64"/>
      <c r="F14" s="66"/>
    </row>
    <row r="15" customFormat="false" ht="26.25" hidden="false" customHeight="true" outlineLevel="0" collapsed="false">
      <c r="A15" s="20" t="n">
        <v>8</v>
      </c>
      <c r="B15" s="67" t="s">
        <v>117</v>
      </c>
      <c r="C15" s="18" t="s">
        <v>119</v>
      </c>
      <c r="D15" s="68"/>
      <c r="E15" s="64"/>
      <c r="F15" s="66"/>
    </row>
    <row r="16" customFormat="false" ht="28.5" hidden="false" customHeight="true" outlineLevel="0" collapsed="false">
      <c r="A16" s="20" t="n">
        <v>9</v>
      </c>
      <c r="B16" s="67" t="s">
        <v>117</v>
      </c>
      <c r="C16" s="18" t="s">
        <v>120</v>
      </c>
      <c r="D16" s="63"/>
      <c r="E16" s="64"/>
      <c r="F16" s="66"/>
    </row>
    <row r="17" customFormat="false" ht="28.5" hidden="false" customHeight="true" outlineLevel="0" collapsed="false">
      <c r="A17" s="20" t="n">
        <v>10</v>
      </c>
      <c r="B17" s="67" t="s">
        <v>117</v>
      </c>
      <c r="C17" s="18" t="s">
        <v>121</v>
      </c>
      <c r="D17" s="63"/>
      <c r="E17" s="64"/>
      <c r="F17" s="66"/>
    </row>
    <row r="18" customFormat="false" ht="15" hidden="false" customHeight="true" outlineLevel="0" collapsed="false">
      <c r="A18" s="20" t="n">
        <v>11</v>
      </c>
      <c r="B18" s="67" t="s">
        <v>117</v>
      </c>
      <c r="C18" s="18" t="s">
        <v>122</v>
      </c>
      <c r="D18" s="68"/>
      <c r="E18" s="64"/>
      <c r="F18" s="66"/>
    </row>
    <row r="19" customFormat="false" ht="15" hidden="false" customHeight="true" outlineLevel="0" collapsed="false">
      <c r="A19" s="20" t="n">
        <v>12</v>
      </c>
      <c r="B19" s="67" t="s">
        <v>117</v>
      </c>
      <c r="C19" s="18" t="s">
        <v>123</v>
      </c>
      <c r="D19" s="63"/>
      <c r="E19" s="64"/>
      <c r="F19" s="66"/>
    </row>
    <row r="20" customFormat="false" ht="15" hidden="false" customHeight="true" outlineLevel="0" collapsed="false">
      <c r="A20" s="20" t="n">
        <v>13</v>
      </c>
      <c r="B20" s="67" t="s">
        <v>117</v>
      </c>
      <c r="C20" s="18" t="s">
        <v>124</v>
      </c>
      <c r="D20" s="63"/>
      <c r="E20" s="64"/>
      <c r="F20" s="66"/>
    </row>
    <row r="21" customFormat="false" ht="15" hidden="false" customHeight="true" outlineLevel="0" collapsed="false">
      <c r="A21" s="20" t="n">
        <v>14</v>
      </c>
      <c r="B21" s="67" t="s">
        <v>117</v>
      </c>
      <c r="C21" s="18" t="s">
        <v>125</v>
      </c>
      <c r="D21" s="68"/>
      <c r="E21" s="64"/>
      <c r="F21" s="66"/>
    </row>
    <row r="22" customFormat="false" ht="15" hidden="false" customHeight="true" outlineLevel="0" collapsed="false">
      <c r="A22" s="20" t="n">
        <v>15</v>
      </c>
      <c r="B22" s="67" t="s">
        <v>117</v>
      </c>
      <c r="C22" s="18" t="s">
        <v>126</v>
      </c>
      <c r="D22" s="63"/>
      <c r="E22" s="64"/>
      <c r="F22" s="66"/>
    </row>
  </sheetData>
  <dataValidations count="1">
    <dataValidation allowBlank="true" errorStyle="stop" operator="between" showDropDown="false" showErrorMessage="false" showInputMessage="false" sqref="D8:D22" type="list">
      <formula1>"충족,미충족,해당없음,확인중"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300"/>
  <sheetViews>
    <sheetView showFormulas="false" showGridLines="fals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5" topLeftCell="G132" activePane="bottomLeft" state="frozen"/>
      <selection pane="topLeft" activeCell="A1" activeCellId="0" sqref="A1"/>
      <selection pane="bottomLeft" activeCell="H78" activeCellId="0" sqref="H78"/>
    </sheetView>
  </sheetViews>
  <sheetFormatPr defaultColWidth="8.5703125" defaultRowHeight="15" zeroHeight="false" outlineLevelRow="0" outlineLevelCol="0"/>
  <cols>
    <col collapsed="false" customWidth="true" hidden="false" outlineLevel="0" max="1" min="1" style="55" width="5"/>
    <col collapsed="false" customWidth="true" hidden="false" outlineLevel="0" max="2" min="2" style="55" width="12"/>
    <col collapsed="false" customWidth="true" hidden="false" outlineLevel="0" max="3" min="3" style="55" width="11"/>
    <col collapsed="false" customWidth="true" hidden="false" outlineLevel="0" max="4" min="4" style="55" width="20"/>
    <col collapsed="false" customWidth="true" hidden="false" outlineLevel="0" max="5" min="5" style="55" width="6"/>
    <col collapsed="false" customWidth="true" hidden="false" outlineLevel="0" max="6" min="6" style="55" width="46"/>
    <col collapsed="false" customWidth="true" hidden="false" outlineLevel="0" max="7" min="7" style="55" width="7"/>
    <col collapsed="false" customWidth="true" hidden="false" outlineLevel="0" max="8" min="8" style="55" width="11"/>
    <col collapsed="false" customWidth="true" hidden="false" outlineLevel="0" max="9" min="9" style="55" width="13"/>
    <col collapsed="false" customWidth="true" hidden="false" outlineLevel="0" max="10" min="10" style="55" width="16"/>
    <col collapsed="false" customWidth="true" hidden="false" outlineLevel="0" max="11" min="11" style="55" width="36"/>
    <col collapsed="false" customWidth="true" hidden="false" outlineLevel="0" max="12" min="12" style="55" width="11"/>
    <col collapsed="false" customWidth="true" hidden="false" outlineLevel="0" max="13" min="13" style="55" width="18"/>
    <col collapsed="false" customWidth="true" hidden="false" outlineLevel="0" max="14" min="14" style="55" width="17"/>
    <col collapsed="false" customWidth="true" hidden="false" outlineLevel="0" max="16" min="15" style="55" width="7"/>
    <col collapsed="false" customWidth="true" hidden="false" outlineLevel="0" max="17" min="17" style="55" width="34"/>
    <col collapsed="false" customWidth="true" hidden="false" outlineLevel="0" max="18" min="18" style="55" width="11.29"/>
    <col collapsed="false" customWidth="true" hidden="false" outlineLevel="0" max="19" min="19" style="55" width="34"/>
    <col collapsed="false" customWidth="true" hidden="false" outlineLevel="0" max="20" min="20" style="55" width="11"/>
    <col collapsed="false" customWidth="true" hidden="false" outlineLevel="0" max="21" min="21" style="55" width="10"/>
    <col collapsed="false" customWidth="true" hidden="false" outlineLevel="0" max="22" min="22" style="55" width="12"/>
    <col collapsed="false" customWidth="true" hidden="false" outlineLevel="0" max="24" min="23" style="55" width="9"/>
    <col collapsed="false" customWidth="true" hidden="false" outlineLevel="0" max="25" min="25" style="55" width="10"/>
    <col collapsed="false" customWidth="true" hidden="false" outlineLevel="0" max="26" min="26" style="55" width="9"/>
    <col collapsed="false" customWidth="true" hidden="false" outlineLevel="0" max="27" min="27" style="55" width="10"/>
    <col collapsed="false" customWidth="true" hidden="false" outlineLevel="0" max="28" min="28" style="55" width="26"/>
    <col collapsed="false" customWidth="true" hidden="false" outlineLevel="0" max="29" min="29" style="55" width="18"/>
  </cols>
  <sheetData>
    <row r="1" customFormat="false" ht="20.25" hidden="false" customHeight="true" outlineLevel="0" collapsed="false">
      <c r="A1" s="69" t="s">
        <v>127</v>
      </c>
      <c r="T1" s="70" t="n">
        <f aca="false">SUM(T6:T300)</f>
        <v>0</v>
      </c>
    </row>
    <row r="2" customFormat="false" ht="15" hidden="false" customHeight="true" outlineLevel="0" collapsed="false">
      <c r="A2" s="71" t="s">
        <v>128</v>
      </c>
      <c r="T2" s="72"/>
    </row>
    <row r="3" customFormat="false" ht="15" hidden="false" customHeight="true" outlineLevel="0" collapsed="false">
      <c r="A3" s="57" t="s">
        <v>129</v>
      </c>
      <c r="T3" s="72"/>
    </row>
    <row r="4" customFormat="false" ht="15" hidden="false" customHeight="true" outlineLevel="0" collapsed="false">
      <c r="A4" s="73" t="s">
        <v>130</v>
      </c>
      <c r="B4" s="74" t="s">
        <v>131</v>
      </c>
      <c r="C4" s="74" t="s">
        <v>131</v>
      </c>
      <c r="D4" s="74" t="s">
        <v>131</v>
      </c>
      <c r="E4" s="74" t="s">
        <v>131</v>
      </c>
      <c r="F4" s="74" t="s">
        <v>131</v>
      </c>
      <c r="G4" s="74" t="s">
        <v>131</v>
      </c>
      <c r="H4" s="74" t="s">
        <v>131</v>
      </c>
      <c r="I4" s="75" t="s">
        <v>132</v>
      </c>
      <c r="J4" s="75" t="s">
        <v>132</v>
      </c>
      <c r="K4" s="75" t="s">
        <v>132</v>
      </c>
      <c r="L4" s="75" t="s">
        <v>132</v>
      </c>
      <c r="M4" s="75" t="s">
        <v>132</v>
      </c>
      <c r="N4" s="76" t="s">
        <v>133</v>
      </c>
      <c r="O4" s="76" t="s">
        <v>133</v>
      </c>
      <c r="P4" s="76" t="s">
        <v>133</v>
      </c>
      <c r="Q4" s="76" t="s">
        <v>133</v>
      </c>
      <c r="R4" s="77" t="s">
        <v>134</v>
      </c>
      <c r="S4" s="77"/>
      <c r="T4" s="76" t="s">
        <v>133</v>
      </c>
      <c r="U4" s="76" t="s">
        <v>133</v>
      </c>
      <c r="V4" s="76" t="s">
        <v>133</v>
      </c>
      <c r="W4" s="78" t="s">
        <v>135</v>
      </c>
      <c r="X4" s="73" t="s">
        <v>130</v>
      </c>
      <c r="Y4" s="73" t="s">
        <v>130</v>
      </c>
      <c r="Z4" s="78" t="s">
        <v>135</v>
      </c>
      <c r="AA4" s="78" t="s">
        <v>135</v>
      </c>
      <c r="AB4" s="78" t="s">
        <v>135</v>
      </c>
      <c r="AC4" s="78" t="s">
        <v>135</v>
      </c>
    </row>
    <row r="5" customFormat="false" ht="48" hidden="false" customHeight="true" outlineLevel="0" collapsed="false">
      <c r="A5" s="79" t="s">
        <v>104</v>
      </c>
      <c r="B5" s="80" t="s">
        <v>136</v>
      </c>
      <c r="C5" s="80" t="s">
        <v>137</v>
      </c>
      <c r="D5" s="80" t="s">
        <v>138</v>
      </c>
      <c r="E5" s="80" t="s">
        <v>139</v>
      </c>
      <c r="F5" s="80" t="s">
        <v>140</v>
      </c>
      <c r="G5" s="80" t="s">
        <v>141</v>
      </c>
      <c r="H5" s="80" t="s">
        <v>42</v>
      </c>
      <c r="I5" s="81" t="s">
        <v>142</v>
      </c>
      <c r="J5" s="81" t="s">
        <v>143</v>
      </c>
      <c r="K5" s="82" t="s">
        <v>144</v>
      </c>
      <c r="L5" s="81" t="s">
        <v>145</v>
      </c>
      <c r="M5" s="81" t="s">
        <v>146</v>
      </c>
      <c r="N5" s="83" t="s">
        <v>147</v>
      </c>
      <c r="O5" s="83" t="s">
        <v>148</v>
      </c>
      <c r="P5" s="83" t="s">
        <v>149</v>
      </c>
      <c r="Q5" s="83" t="s">
        <v>150</v>
      </c>
      <c r="R5" s="84" t="s">
        <v>151</v>
      </c>
      <c r="S5" s="84" t="s">
        <v>152</v>
      </c>
      <c r="T5" s="83" t="s">
        <v>153</v>
      </c>
      <c r="U5" s="83" t="s">
        <v>154</v>
      </c>
      <c r="V5" s="83" t="s">
        <v>155</v>
      </c>
      <c r="W5" s="85" t="s">
        <v>156</v>
      </c>
      <c r="X5" s="86" t="s">
        <v>157</v>
      </c>
      <c r="Y5" s="79" t="s">
        <v>158</v>
      </c>
      <c r="Z5" s="85" t="s">
        <v>159</v>
      </c>
      <c r="AA5" s="85" t="s">
        <v>160</v>
      </c>
      <c r="AB5" s="87" t="s">
        <v>161</v>
      </c>
      <c r="AC5" s="85" t="s">
        <v>42</v>
      </c>
    </row>
    <row r="6" customFormat="false" ht="57.75" hidden="false" customHeight="true" outlineLevel="0" collapsed="false">
      <c r="A6" s="88" t="n">
        <f aca="false">IF(C6="","",ROW()-5)</f>
        <v>1</v>
      </c>
      <c r="B6" s="89" t="s">
        <v>162</v>
      </c>
      <c r="C6" s="88" t="s">
        <v>163</v>
      </c>
      <c r="D6" s="90" t="s">
        <v>164</v>
      </c>
      <c r="E6" s="88" t="n">
        <v>1</v>
      </c>
      <c r="F6" s="91" t="s">
        <v>165</v>
      </c>
      <c r="G6" s="92"/>
      <c r="H6" s="93"/>
      <c r="I6" s="17"/>
      <c r="J6" s="94"/>
      <c r="K6" s="17"/>
      <c r="L6" s="95"/>
      <c r="M6" s="18"/>
      <c r="N6" s="96"/>
      <c r="O6" s="96"/>
      <c r="P6" s="97"/>
      <c r="Q6" s="98"/>
      <c r="R6" s="99"/>
      <c r="S6" s="99"/>
      <c r="T6" s="95"/>
      <c r="U6" s="95"/>
      <c r="V6" s="94"/>
      <c r="W6" s="95"/>
      <c r="X6" s="95" t="n">
        <f aca="false">IF(C6="","",SUM(L6,T6,U6,W6))</f>
        <v>0</v>
      </c>
      <c r="Y6" s="100" t="str">
        <f aca="false">IF(OR(C6="",H6=""),"",X6-H6)</f>
        <v/>
      </c>
      <c r="Z6" s="88"/>
      <c r="AA6" s="88"/>
      <c r="AB6" s="17"/>
      <c r="AC6" s="17"/>
    </row>
    <row r="7" customFormat="false" ht="45" hidden="false" customHeight="true" outlineLevel="0" collapsed="false">
      <c r="A7" s="88" t="n">
        <f aca="false">IF(C7="","",ROW()-5)</f>
        <v>2</v>
      </c>
      <c r="B7" s="89" t="s">
        <v>162</v>
      </c>
      <c r="C7" s="88" t="s">
        <v>163</v>
      </c>
      <c r="D7" s="90" t="s">
        <v>164</v>
      </c>
      <c r="E7" s="88" t="n">
        <v>2</v>
      </c>
      <c r="F7" s="91" t="s">
        <v>166</v>
      </c>
      <c r="G7" s="92"/>
      <c r="H7" s="93"/>
      <c r="I7" s="17"/>
      <c r="J7" s="94"/>
      <c r="K7" s="17"/>
      <c r="L7" s="95"/>
      <c r="M7" s="18"/>
      <c r="N7" s="96"/>
      <c r="O7" s="96"/>
      <c r="P7" s="97"/>
      <c r="Q7" s="98"/>
      <c r="R7" s="99"/>
      <c r="S7" s="99"/>
      <c r="T7" s="95"/>
      <c r="U7" s="95"/>
      <c r="V7" s="94"/>
      <c r="W7" s="95"/>
      <c r="X7" s="95" t="n">
        <f aca="false">IF(C7="","",SUM(L7,T7,U7,W7))</f>
        <v>0</v>
      </c>
      <c r="Y7" s="100" t="str">
        <f aca="false">IF(OR(C7="",H7=""),"",X7-H7)</f>
        <v/>
      </c>
      <c r="Z7" s="88"/>
      <c r="AA7" s="88"/>
      <c r="AB7" s="17"/>
      <c r="AC7" s="17"/>
    </row>
    <row r="8" customFormat="false" ht="45" hidden="false" customHeight="true" outlineLevel="0" collapsed="false">
      <c r="A8" s="88" t="n">
        <f aca="false">IF(C8="","",ROW()-5)</f>
        <v>3</v>
      </c>
      <c r="B8" s="89" t="s">
        <v>162</v>
      </c>
      <c r="C8" s="88" t="s">
        <v>163</v>
      </c>
      <c r="D8" s="90" t="s">
        <v>164</v>
      </c>
      <c r="E8" s="88" t="n">
        <v>3</v>
      </c>
      <c r="F8" s="91" t="s">
        <v>167</v>
      </c>
      <c r="G8" s="92"/>
      <c r="H8" s="93"/>
      <c r="I8" s="17"/>
      <c r="J8" s="94"/>
      <c r="K8" s="17"/>
      <c r="L8" s="95"/>
      <c r="M8" s="18"/>
      <c r="N8" s="96"/>
      <c r="O8" s="96"/>
      <c r="P8" s="97"/>
      <c r="Q8" s="98"/>
      <c r="R8" s="99"/>
      <c r="S8" s="99"/>
      <c r="T8" s="95"/>
      <c r="U8" s="95"/>
      <c r="V8" s="94"/>
      <c r="W8" s="95"/>
      <c r="X8" s="95" t="n">
        <f aca="false">IF(C8="","",SUM(L8,T8,U8,W8))</f>
        <v>0</v>
      </c>
      <c r="Y8" s="100" t="str">
        <f aca="false">IF(OR(C8="",H8=""),"",X8-H8)</f>
        <v/>
      </c>
      <c r="Z8" s="88"/>
      <c r="AA8" s="88"/>
      <c r="AB8" s="17"/>
      <c r="AC8" s="17"/>
    </row>
    <row r="9" customFormat="false" ht="57.75" hidden="false" customHeight="true" outlineLevel="0" collapsed="false">
      <c r="A9" s="88" t="n">
        <f aca="false">IF(C9="","",ROW()-5)</f>
        <v>4</v>
      </c>
      <c r="B9" s="89" t="s">
        <v>162</v>
      </c>
      <c r="C9" s="88" t="s">
        <v>163</v>
      </c>
      <c r="D9" s="90" t="s">
        <v>164</v>
      </c>
      <c r="E9" s="88" t="n">
        <v>4</v>
      </c>
      <c r="F9" s="91" t="s">
        <v>168</v>
      </c>
      <c r="G9" s="92"/>
      <c r="H9" s="93"/>
      <c r="I9" s="17"/>
      <c r="J9" s="94"/>
      <c r="K9" s="17"/>
      <c r="L9" s="95"/>
      <c r="M9" s="18"/>
      <c r="N9" s="96"/>
      <c r="O9" s="96"/>
      <c r="P9" s="97"/>
      <c r="Q9" s="98"/>
      <c r="R9" s="99"/>
      <c r="S9" s="99"/>
      <c r="T9" s="95"/>
      <c r="U9" s="95"/>
      <c r="V9" s="94"/>
      <c r="W9" s="95"/>
      <c r="X9" s="95" t="n">
        <f aca="false">IF(C9="","",SUM(L9,T9,U9,W9))</f>
        <v>0</v>
      </c>
      <c r="Y9" s="100" t="str">
        <f aca="false">IF(OR(C9="",H9=""),"",X9-H9)</f>
        <v/>
      </c>
      <c r="Z9" s="88"/>
      <c r="AA9" s="88"/>
      <c r="AB9" s="17"/>
      <c r="AC9" s="17"/>
    </row>
    <row r="10" customFormat="false" ht="57.75" hidden="false" customHeight="true" outlineLevel="0" collapsed="false">
      <c r="A10" s="88" t="n">
        <f aca="false">IF(C10="","",ROW()-5)</f>
        <v>5</v>
      </c>
      <c r="B10" s="89" t="s">
        <v>162</v>
      </c>
      <c r="C10" s="88" t="s">
        <v>163</v>
      </c>
      <c r="D10" s="90" t="s">
        <v>164</v>
      </c>
      <c r="E10" s="88" t="n">
        <v>5</v>
      </c>
      <c r="F10" s="91" t="s">
        <v>169</v>
      </c>
      <c r="G10" s="92"/>
      <c r="H10" s="93"/>
      <c r="I10" s="17"/>
      <c r="J10" s="94"/>
      <c r="K10" s="17"/>
      <c r="L10" s="95"/>
      <c r="M10" s="18"/>
      <c r="N10" s="96"/>
      <c r="O10" s="96"/>
      <c r="P10" s="97"/>
      <c r="Q10" s="98"/>
      <c r="R10" s="99"/>
      <c r="S10" s="99"/>
      <c r="T10" s="95"/>
      <c r="U10" s="95"/>
      <c r="V10" s="94"/>
      <c r="W10" s="95"/>
      <c r="X10" s="95" t="n">
        <f aca="false">IF(C10="","",SUM(L10,T10,U10,W10))</f>
        <v>0</v>
      </c>
      <c r="Y10" s="100" t="str">
        <f aca="false">IF(OR(C10="",H10=""),"",X10-H10)</f>
        <v/>
      </c>
      <c r="Z10" s="88"/>
      <c r="AA10" s="88"/>
      <c r="AB10" s="17"/>
      <c r="AC10" s="17"/>
    </row>
    <row r="11" customFormat="false" ht="57.75" hidden="false" customHeight="true" outlineLevel="0" collapsed="false">
      <c r="A11" s="88" t="n">
        <f aca="false">IF(C11="","",ROW()-5)</f>
        <v>6</v>
      </c>
      <c r="B11" s="89" t="s">
        <v>162</v>
      </c>
      <c r="C11" s="88" t="s">
        <v>170</v>
      </c>
      <c r="D11" s="90" t="s">
        <v>171</v>
      </c>
      <c r="E11" s="88" t="n">
        <v>1</v>
      </c>
      <c r="F11" s="91" t="s">
        <v>172</v>
      </c>
      <c r="G11" s="92"/>
      <c r="H11" s="93"/>
      <c r="I11" s="17"/>
      <c r="J11" s="94"/>
      <c r="K11" s="17"/>
      <c r="L11" s="95"/>
      <c r="M11" s="18"/>
      <c r="N11" s="96"/>
      <c r="O11" s="96"/>
      <c r="P11" s="97"/>
      <c r="Q11" s="98"/>
      <c r="R11" s="99"/>
      <c r="S11" s="99"/>
      <c r="T11" s="95"/>
      <c r="U11" s="95"/>
      <c r="V11" s="94"/>
      <c r="W11" s="95"/>
      <c r="X11" s="95" t="n">
        <f aca="false">IF(C11="","",SUM(L11,T11,U11,W11))</f>
        <v>0</v>
      </c>
      <c r="Y11" s="100" t="str">
        <f aca="false">IF(OR(C11="",H11=""),"",X11-H11)</f>
        <v/>
      </c>
      <c r="Z11" s="88"/>
      <c r="AA11" s="88"/>
      <c r="AB11" s="17"/>
      <c r="AC11" s="17"/>
    </row>
    <row r="12" customFormat="false" ht="57.75" hidden="false" customHeight="true" outlineLevel="0" collapsed="false">
      <c r="A12" s="88" t="n">
        <f aca="false">IF(C12="","",ROW()-5)</f>
        <v>7</v>
      </c>
      <c r="B12" s="89" t="s">
        <v>162</v>
      </c>
      <c r="C12" s="88" t="s">
        <v>170</v>
      </c>
      <c r="D12" s="90" t="s">
        <v>171</v>
      </c>
      <c r="E12" s="88" t="n">
        <v>2</v>
      </c>
      <c r="F12" s="91" t="s">
        <v>173</v>
      </c>
      <c r="G12" s="92"/>
      <c r="H12" s="93"/>
      <c r="I12" s="17"/>
      <c r="J12" s="94"/>
      <c r="K12" s="17"/>
      <c r="L12" s="95"/>
      <c r="M12" s="18"/>
      <c r="N12" s="96"/>
      <c r="O12" s="96"/>
      <c r="P12" s="97"/>
      <c r="Q12" s="98"/>
      <c r="R12" s="99"/>
      <c r="S12" s="99"/>
      <c r="T12" s="95"/>
      <c r="U12" s="95"/>
      <c r="V12" s="94"/>
      <c r="W12" s="95"/>
      <c r="X12" s="95" t="n">
        <f aca="false">IF(C12="","",SUM(L12,T12,U12,W12))</f>
        <v>0</v>
      </c>
      <c r="Y12" s="100" t="str">
        <f aca="false">IF(OR(C12="",H12=""),"",X12-H12)</f>
        <v/>
      </c>
      <c r="Z12" s="88"/>
      <c r="AA12" s="88"/>
      <c r="AB12" s="17"/>
      <c r="AC12" s="17"/>
    </row>
    <row r="13" customFormat="false" ht="45" hidden="false" customHeight="true" outlineLevel="0" collapsed="false">
      <c r="A13" s="88" t="n">
        <f aca="false">IF(C13="","",ROW()-5)</f>
        <v>8</v>
      </c>
      <c r="B13" s="89" t="s">
        <v>162</v>
      </c>
      <c r="C13" s="88" t="s">
        <v>170</v>
      </c>
      <c r="D13" s="90" t="s">
        <v>171</v>
      </c>
      <c r="E13" s="88" t="n">
        <v>3</v>
      </c>
      <c r="F13" s="91" t="s">
        <v>174</v>
      </c>
      <c r="G13" s="92"/>
      <c r="H13" s="93"/>
      <c r="I13" s="17"/>
      <c r="J13" s="94"/>
      <c r="K13" s="17"/>
      <c r="L13" s="95"/>
      <c r="M13" s="18"/>
      <c r="N13" s="96"/>
      <c r="O13" s="96"/>
      <c r="P13" s="97"/>
      <c r="Q13" s="98"/>
      <c r="R13" s="99"/>
      <c r="S13" s="99"/>
      <c r="T13" s="95"/>
      <c r="U13" s="95"/>
      <c r="V13" s="94"/>
      <c r="W13" s="95"/>
      <c r="X13" s="95" t="n">
        <f aca="false">IF(C13="","",SUM(L13,T13,U13,W13))</f>
        <v>0</v>
      </c>
      <c r="Y13" s="100" t="str">
        <f aca="false">IF(OR(C13="",H13=""),"",X13-H13)</f>
        <v/>
      </c>
      <c r="Z13" s="88"/>
      <c r="AA13" s="88"/>
      <c r="AB13" s="17"/>
      <c r="AC13" s="17"/>
    </row>
    <row r="14" customFormat="false" ht="45" hidden="false" customHeight="true" outlineLevel="0" collapsed="false">
      <c r="A14" s="88" t="n">
        <f aca="false">IF(C14="","",ROW()-5)</f>
        <v>9</v>
      </c>
      <c r="B14" s="89" t="s">
        <v>162</v>
      </c>
      <c r="C14" s="88" t="s">
        <v>170</v>
      </c>
      <c r="D14" s="90" t="s">
        <v>171</v>
      </c>
      <c r="E14" s="88" t="n">
        <v>4</v>
      </c>
      <c r="F14" s="91" t="s">
        <v>175</v>
      </c>
      <c r="G14" s="92"/>
      <c r="H14" s="93"/>
      <c r="I14" s="17"/>
      <c r="J14" s="94"/>
      <c r="K14" s="17"/>
      <c r="L14" s="95"/>
      <c r="M14" s="18"/>
      <c r="N14" s="96"/>
      <c r="O14" s="96"/>
      <c r="P14" s="97"/>
      <c r="Q14" s="98"/>
      <c r="R14" s="99"/>
      <c r="S14" s="99"/>
      <c r="T14" s="95"/>
      <c r="U14" s="95"/>
      <c r="V14" s="94"/>
      <c r="W14" s="95"/>
      <c r="X14" s="95" t="n">
        <f aca="false">IF(C14="","",SUM(L14,T14,U14,W14))</f>
        <v>0</v>
      </c>
      <c r="Y14" s="100" t="str">
        <f aca="false">IF(OR(C14="",H14=""),"",X14-H14)</f>
        <v/>
      </c>
      <c r="Z14" s="88"/>
      <c r="AA14" s="88"/>
      <c r="AB14" s="17"/>
      <c r="AC14" s="17"/>
    </row>
    <row r="15" customFormat="false" ht="45" hidden="false" customHeight="true" outlineLevel="0" collapsed="false">
      <c r="A15" s="88" t="n">
        <f aca="false">IF(C15="","",ROW()-5)</f>
        <v>10</v>
      </c>
      <c r="B15" s="89" t="s">
        <v>162</v>
      </c>
      <c r="C15" s="88" t="s">
        <v>170</v>
      </c>
      <c r="D15" s="90" t="s">
        <v>171</v>
      </c>
      <c r="E15" s="88" t="n">
        <v>5</v>
      </c>
      <c r="F15" s="91" t="s">
        <v>176</v>
      </c>
      <c r="G15" s="92"/>
      <c r="H15" s="93"/>
      <c r="I15" s="17"/>
      <c r="J15" s="94"/>
      <c r="K15" s="17"/>
      <c r="L15" s="95"/>
      <c r="M15" s="18"/>
      <c r="N15" s="96"/>
      <c r="O15" s="96"/>
      <c r="P15" s="97"/>
      <c r="Q15" s="98"/>
      <c r="R15" s="99"/>
      <c r="S15" s="99"/>
      <c r="T15" s="95"/>
      <c r="U15" s="95"/>
      <c r="V15" s="94"/>
      <c r="W15" s="95"/>
      <c r="X15" s="95" t="n">
        <f aca="false">IF(C15="","",SUM(L15,T15,U15,W15))</f>
        <v>0</v>
      </c>
      <c r="Y15" s="100" t="str">
        <f aca="false">IF(OR(C15="",H15=""),"",X15-H15)</f>
        <v/>
      </c>
      <c r="Z15" s="88"/>
      <c r="AA15" s="88"/>
      <c r="AB15" s="17"/>
      <c r="AC15" s="17"/>
    </row>
    <row r="16" customFormat="false" ht="57.75" hidden="false" customHeight="true" outlineLevel="0" collapsed="false">
      <c r="A16" s="88" t="n">
        <f aca="false">IF(C16="","",ROW()-5)</f>
        <v>11</v>
      </c>
      <c r="B16" s="89" t="s">
        <v>162</v>
      </c>
      <c r="C16" s="88" t="s">
        <v>177</v>
      </c>
      <c r="D16" s="90" t="s">
        <v>178</v>
      </c>
      <c r="E16" s="88" t="n">
        <v>1</v>
      </c>
      <c r="F16" s="91" t="s">
        <v>179</v>
      </c>
      <c r="G16" s="92"/>
      <c r="H16" s="93"/>
      <c r="I16" s="17"/>
      <c r="J16" s="94"/>
      <c r="K16" s="17"/>
      <c r="L16" s="95"/>
      <c r="M16" s="18"/>
      <c r="N16" s="96"/>
      <c r="O16" s="96"/>
      <c r="P16" s="97"/>
      <c r="Q16" s="98"/>
      <c r="R16" s="99"/>
      <c r="S16" s="99"/>
      <c r="T16" s="95"/>
      <c r="U16" s="95"/>
      <c r="V16" s="94"/>
      <c r="W16" s="95"/>
      <c r="X16" s="95" t="n">
        <f aca="false">IF(C16="","",SUM(L16,T16,U16,W16))</f>
        <v>0</v>
      </c>
      <c r="Y16" s="100" t="str">
        <f aca="false">IF(OR(C16="",H16=""),"",X16-H16)</f>
        <v/>
      </c>
      <c r="Z16" s="88"/>
      <c r="AA16" s="88"/>
      <c r="AB16" s="17"/>
      <c r="AC16" s="17"/>
    </row>
    <row r="17" customFormat="false" ht="45" hidden="false" customHeight="true" outlineLevel="0" collapsed="false">
      <c r="A17" s="88" t="n">
        <f aca="false">IF(C17="","",ROW()-5)</f>
        <v>12</v>
      </c>
      <c r="B17" s="89" t="s">
        <v>162</v>
      </c>
      <c r="C17" s="88" t="s">
        <v>177</v>
      </c>
      <c r="D17" s="90" t="s">
        <v>178</v>
      </c>
      <c r="E17" s="88" t="n">
        <v>2</v>
      </c>
      <c r="F17" s="91" t="s">
        <v>180</v>
      </c>
      <c r="G17" s="92"/>
      <c r="H17" s="93"/>
      <c r="I17" s="17"/>
      <c r="J17" s="94"/>
      <c r="K17" s="17"/>
      <c r="L17" s="95"/>
      <c r="M17" s="18"/>
      <c r="N17" s="96"/>
      <c r="O17" s="96"/>
      <c r="P17" s="97"/>
      <c r="Q17" s="98"/>
      <c r="R17" s="99"/>
      <c r="S17" s="99"/>
      <c r="T17" s="95"/>
      <c r="U17" s="95"/>
      <c r="V17" s="94"/>
      <c r="W17" s="95"/>
      <c r="X17" s="95" t="n">
        <f aca="false">IF(C17="","",SUM(L17,T17,U17,W17))</f>
        <v>0</v>
      </c>
      <c r="Y17" s="100" t="str">
        <f aca="false">IF(OR(C17="",H17=""),"",X17-H17)</f>
        <v/>
      </c>
      <c r="Z17" s="88"/>
      <c r="AA17" s="88"/>
      <c r="AB17" s="17"/>
      <c r="AC17" s="17"/>
    </row>
    <row r="18" customFormat="false" ht="70.5" hidden="false" customHeight="true" outlineLevel="0" collapsed="false">
      <c r="A18" s="88" t="n">
        <f aca="false">IF(C18="","",ROW()-5)</f>
        <v>13</v>
      </c>
      <c r="B18" s="89" t="s">
        <v>162</v>
      </c>
      <c r="C18" s="88" t="s">
        <v>177</v>
      </c>
      <c r="D18" s="90" t="s">
        <v>178</v>
      </c>
      <c r="E18" s="88" t="n">
        <v>3</v>
      </c>
      <c r="F18" s="101" t="s">
        <v>181</v>
      </c>
      <c r="G18" s="92"/>
      <c r="H18" s="93"/>
      <c r="I18" s="17"/>
      <c r="J18" s="94"/>
      <c r="K18" s="17"/>
      <c r="L18" s="95"/>
      <c r="M18" s="18"/>
      <c r="N18" s="96"/>
      <c r="O18" s="96"/>
      <c r="P18" s="97"/>
      <c r="Q18" s="98"/>
      <c r="R18" s="99"/>
      <c r="S18" s="99"/>
      <c r="T18" s="95"/>
      <c r="U18" s="95"/>
      <c r="V18" s="94"/>
      <c r="W18" s="95"/>
      <c r="X18" s="95" t="n">
        <f aca="false">IF(C18="","",SUM(L18,T18,U18,W18))</f>
        <v>0</v>
      </c>
      <c r="Y18" s="100" t="str">
        <f aca="false">IF(OR(C18="",H18=""),"",X18-H18)</f>
        <v/>
      </c>
      <c r="Z18" s="88"/>
      <c r="AA18" s="88"/>
      <c r="AB18" s="17"/>
      <c r="AC18" s="17"/>
    </row>
    <row r="19" customFormat="false" ht="57.75" hidden="false" customHeight="true" outlineLevel="0" collapsed="false">
      <c r="A19" s="88" t="n">
        <f aca="false">IF(C19="","",ROW()-5)</f>
        <v>14</v>
      </c>
      <c r="B19" s="89" t="s">
        <v>162</v>
      </c>
      <c r="C19" s="88" t="s">
        <v>177</v>
      </c>
      <c r="D19" s="90" t="s">
        <v>178</v>
      </c>
      <c r="E19" s="88" t="n">
        <v>4</v>
      </c>
      <c r="F19" s="101" t="s">
        <v>182</v>
      </c>
      <c r="G19" s="92"/>
      <c r="H19" s="93"/>
      <c r="I19" s="17"/>
      <c r="J19" s="94"/>
      <c r="K19" s="17"/>
      <c r="L19" s="95"/>
      <c r="M19" s="18"/>
      <c r="N19" s="96"/>
      <c r="O19" s="96"/>
      <c r="P19" s="97"/>
      <c r="Q19" s="98"/>
      <c r="R19" s="99"/>
      <c r="S19" s="99"/>
      <c r="T19" s="95"/>
      <c r="U19" s="95"/>
      <c r="V19" s="94"/>
      <c r="W19" s="95"/>
      <c r="X19" s="95" t="n">
        <f aca="false">IF(C19="","",SUM(L19,T19,U19,W19))</f>
        <v>0</v>
      </c>
      <c r="Y19" s="100" t="str">
        <f aca="false">IF(OR(C19="",H19=""),"",X19-H19)</f>
        <v/>
      </c>
      <c r="Z19" s="88"/>
      <c r="AA19" s="88"/>
      <c r="AB19" s="17"/>
      <c r="AC19" s="17"/>
    </row>
    <row r="20" customFormat="false" ht="57.75" hidden="false" customHeight="true" outlineLevel="0" collapsed="false">
      <c r="A20" s="88" t="n">
        <f aca="false">IF(C20="","",ROW()-5)</f>
        <v>15</v>
      </c>
      <c r="B20" s="89" t="s">
        <v>162</v>
      </c>
      <c r="C20" s="88" t="s">
        <v>177</v>
      </c>
      <c r="D20" s="90" t="s">
        <v>178</v>
      </c>
      <c r="E20" s="88" t="n">
        <v>5</v>
      </c>
      <c r="F20" s="91" t="s">
        <v>183</v>
      </c>
      <c r="G20" s="92"/>
      <c r="H20" s="93"/>
      <c r="I20" s="17"/>
      <c r="J20" s="94"/>
      <c r="K20" s="17"/>
      <c r="L20" s="95"/>
      <c r="M20" s="18"/>
      <c r="N20" s="96"/>
      <c r="O20" s="96"/>
      <c r="P20" s="97"/>
      <c r="Q20" s="98"/>
      <c r="R20" s="99"/>
      <c r="S20" s="99"/>
      <c r="T20" s="95"/>
      <c r="U20" s="95"/>
      <c r="V20" s="94"/>
      <c r="W20" s="95"/>
      <c r="X20" s="95" t="n">
        <f aca="false">IF(C20="","",SUM(L20,T20,U20,W20))</f>
        <v>0</v>
      </c>
      <c r="Y20" s="100" t="str">
        <f aca="false">IF(OR(C20="",H20=""),"",X20-H20)</f>
        <v/>
      </c>
      <c r="Z20" s="88"/>
      <c r="AA20" s="88"/>
      <c r="AB20" s="17"/>
      <c r="AC20" s="17"/>
    </row>
    <row r="21" customFormat="false" ht="45" hidden="false" customHeight="true" outlineLevel="0" collapsed="false">
      <c r="A21" s="88" t="n">
        <f aca="false">IF(C21="","",ROW()-5)</f>
        <v>16</v>
      </c>
      <c r="B21" s="89" t="s">
        <v>162</v>
      </c>
      <c r="C21" s="88" t="s">
        <v>177</v>
      </c>
      <c r="D21" s="90" t="s">
        <v>178</v>
      </c>
      <c r="E21" s="88" t="n">
        <v>6</v>
      </c>
      <c r="F21" s="91" t="s">
        <v>184</v>
      </c>
      <c r="G21" s="92"/>
      <c r="H21" s="93"/>
      <c r="I21" s="17"/>
      <c r="J21" s="94"/>
      <c r="K21" s="17"/>
      <c r="L21" s="95"/>
      <c r="M21" s="18"/>
      <c r="N21" s="96"/>
      <c r="O21" s="96"/>
      <c r="P21" s="97"/>
      <c r="Q21" s="98"/>
      <c r="R21" s="99"/>
      <c r="S21" s="99"/>
      <c r="T21" s="95"/>
      <c r="U21" s="95"/>
      <c r="V21" s="94"/>
      <c r="W21" s="95"/>
      <c r="X21" s="95" t="n">
        <f aca="false">IF(C21="","",SUM(L21,T21,U21,W21))</f>
        <v>0</v>
      </c>
      <c r="Y21" s="100" t="str">
        <f aca="false">IF(OR(C21="",H21=""),"",X21-H21)</f>
        <v/>
      </c>
      <c r="Z21" s="88"/>
      <c r="AA21" s="88"/>
      <c r="AB21" s="17"/>
      <c r="AC21" s="17"/>
    </row>
    <row r="22" customFormat="false" ht="70.5" hidden="false" customHeight="true" outlineLevel="0" collapsed="false">
      <c r="A22" s="88" t="n">
        <f aca="false">IF(C22="","",ROW()-5)</f>
        <v>17</v>
      </c>
      <c r="B22" s="89" t="s">
        <v>162</v>
      </c>
      <c r="C22" s="88" t="s">
        <v>177</v>
      </c>
      <c r="D22" s="90" t="s">
        <v>178</v>
      </c>
      <c r="E22" s="88" t="n">
        <v>7</v>
      </c>
      <c r="F22" s="91" t="s">
        <v>185</v>
      </c>
      <c r="G22" s="92"/>
      <c r="H22" s="93"/>
      <c r="I22" s="17"/>
      <c r="J22" s="94"/>
      <c r="K22" s="17"/>
      <c r="L22" s="95"/>
      <c r="M22" s="18"/>
      <c r="N22" s="96"/>
      <c r="O22" s="96"/>
      <c r="P22" s="97"/>
      <c r="Q22" s="98"/>
      <c r="R22" s="99"/>
      <c r="S22" s="99"/>
      <c r="T22" s="95"/>
      <c r="U22" s="95"/>
      <c r="V22" s="94"/>
      <c r="W22" s="95"/>
      <c r="X22" s="95" t="n">
        <f aca="false">IF(C22="","",SUM(L22,T22,U22,W22))</f>
        <v>0</v>
      </c>
      <c r="Y22" s="100" t="str">
        <f aca="false">IF(OR(C22="",H22=""),"",X22-H22)</f>
        <v/>
      </c>
      <c r="Z22" s="88"/>
      <c r="AA22" s="88"/>
      <c r="AB22" s="17"/>
      <c r="AC22" s="17"/>
    </row>
    <row r="23" customFormat="false" ht="45" hidden="false" customHeight="true" outlineLevel="0" collapsed="false">
      <c r="A23" s="88" t="n">
        <f aca="false">IF(C23="","",ROW()-5)</f>
        <v>18</v>
      </c>
      <c r="B23" s="89" t="s">
        <v>162</v>
      </c>
      <c r="C23" s="88" t="s">
        <v>177</v>
      </c>
      <c r="D23" s="90" t="s">
        <v>178</v>
      </c>
      <c r="E23" s="88" t="n">
        <v>8</v>
      </c>
      <c r="F23" s="91" t="s">
        <v>186</v>
      </c>
      <c r="G23" s="92"/>
      <c r="H23" s="93"/>
      <c r="I23" s="17"/>
      <c r="J23" s="94"/>
      <c r="K23" s="17"/>
      <c r="L23" s="95"/>
      <c r="M23" s="18"/>
      <c r="N23" s="96"/>
      <c r="O23" s="96"/>
      <c r="P23" s="97"/>
      <c r="Q23" s="98"/>
      <c r="R23" s="99"/>
      <c r="S23" s="99"/>
      <c r="T23" s="95"/>
      <c r="U23" s="95"/>
      <c r="V23" s="94"/>
      <c r="W23" s="95"/>
      <c r="X23" s="95" t="n">
        <f aca="false">IF(C23="","",SUM(L23,T23,U23,W23))</f>
        <v>0</v>
      </c>
      <c r="Y23" s="100" t="str">
        <f aca="false">IF(OR(C23="",H23=""),"",X23-H23)</f>
        <v/>
      </c>
      <c r="Z23" s="88"/>
      <c r="AA23" s="88"/>
      <c r="AB23" s="17"/>
      <c r="AC23" s="17"/>
    </row>
    <row r="24" customFormat="false" ht="45" hidden="false" customHeight="true" outlineLevel="0" collapsed="false">
      <c r="A24" s="88" t="n">
        <f aca="false">IF(C24="","",ROW()-5)</f>
        <v>19</v>
      </c>
      <c r="B24" s="89" t="s">
        <v>162</v>
      </c>
      <c r="C24" s="88" t="s">
        <v>177</v>
      </c>
      <c r="D24" s="90" t="s">
        <v>178</v>
      </c>
      <c r="E24" s="88" t="n">
        <v>9</v>
      </c>
      <c r="F24" s="91" t="s">
        <v>187</v>
      </c>
      <c r="G24" s="92"/>
      <c r="H24" s="93"/>
      <c r="I24" s="17"/>
      <c r="J24" s="94"/>
      <c r="K24" s="17"/>
      <c r="L24" s="95"/>
      <c r="M24" s="18"/>
      <c r="N24" s="96"/>
      <c r="O24" s="96"/>
      <c r="P24" s="97"/>
      <c r="Q24" s="98"/>
      <c r="R24" s="99"/>
      <c r="S24" s="99"/>
      <c r="T24" s="95"/>
      <c r="U24" s="95"/>
      <c r="V24" s="94"/>
      <c r="W24" s="95"/>
      <c r="X24" s="95" t="n">
        <f aca="false">IF(C24="","",SUM(L24,T24,U24,W24))</f>
        <v>0</v>
      </c>
      <c r="Y24" s="100" t="str">
        <f aca="false">IF(OR(C24="",H24=""),"",X24-H24)</f>
        <v/>
      </c>
      <c r="Z24" s="88"/>
      <c r="AA24" s="88"/>
      <c r="AB24" s="17"/>
      <c r="AC24" s="17"/>
    </row>
    <row r="25" customFormat="false" ht="70.5" hidden="false" customHeight="true" outlineLevel="0" collapsed="false">
      <c r="A25" s="88" t="n">
        <f aca="false">IF(C25="","",ROW()-5)</f>
        <v>20</v>
      </c>
      <c r="B25" s="89" t="s">
        <v>162</v>
      </c>
      <c r="C25" s="88" t="s">
        <v>177</v>
      </c>
      <c r="D25" s="90" t="s">
        <v>178</v>
      </c>
      <c r="E25" s="88" t="n">
        <v>10</v>
      </c>
      <c r="F25" s="91" t="s">
        <v>188</v>
      </c>
      <c r="G25" s="92"/>
      <c r="H25" s="93"/>
      <c r="I25" s="17"/>
      <c r="J25" s="94"/>
      <c r="K25" s="17"/>
      <c r="L25" s="95"/>
      <c r="M25" s="18"/>
      <c r="N25" s="96"/>
      <c r="O25" s="96"/>
      <c r="P25" s="97"/>
      <c r="Q25" s="98"/>
      <c r="R25" s="99"/>
      <c r="S25" s="99"/>
      <c r="T25" s="95"/>
      <c r="U25" s="95"/>
      <c r="V25" s="94"/>
      <c r="W25" s="95"/>
      <c r="X25" s="95" t="n">
        <f aca="false">IF(C25="","",SUM(L25,T25,U25,W25))</f>
        <v>0</v>
      </c>
      <c r="Y25" s="100" t="str">
        <f aca="false">IF(OR(C25="",H25=""),"",X25-H25)</f>
        <v/>
      </c>
      <c r="Z25" s="88"/>
      <c r="AA25" s="88"/>
      <c r="AB25" s="17"/>
      <c r="AC25" s="17"/>
    </row>
    <row r="26" customFormat="false" ht="57.75" hidden="false" customHeight="true" outlineLevel="0" collapsed="false">
      <c r="A26" s="88" t="n">
        <f aca="false">IF(C26="","",ROW()-5)</f>
        <v>21</v>
      </c>
      <c r="B26" s="89" t="s">
        <v>162</v>
      </c>
      <c r="C26" s="102" t="s">
        <v>189</v>
      </c>
      <c r="D26" s="103" t="s">
        <v>190</v>
      </c>
      <c r="E26" s="88" t="n">
        <v>1</v>
      </c>
      <c r="F26" s="91" t="s">
        <v>191</v>
      </c>
      <c r="G26" s="92"/>
      <c r="H26" s="93"/>
      <c r="I26" s="17"/>
      <c r="J26" s="94"/>
      <c r="K26" s="17"/>
      <c r="L26" s="95"/>
      <c r="M26" s="18"/>
      <c r="N26" s="96"/>
      <c r="O26" s="96"/>
      <c r="P26" s="97"/>
      <c r="Q26" s="98"/>
      <c r="R26" s="99"/>
      <c r="S26" s="99"/>
      <c r="T26" s="95"/>
      <c r="U26" s="95"/>
      <c r="V26" s="94"/>
      <c r="W26" s="95"/>
      <c r="X26" s="95" t="n">
        <f aca="false">IF(C26="","",SUM(L26,T26,U26,W26))</f>
        <v>0</v>
      </c>
      <c r="Y26" s="100" t="str">
        <f aca="false">IF(OR(C26="",H26=""),"",X26-H26)</f>
        <v/>
      </c>
      <c r="Z26" s="88"/>
      <c r="AA26" s="88"/>
      <c r="AB26" s="17"/>
      <c r="AC26" s="17"/>
    </row>
    <row r="27" customFormat="false" ht="96.75" hidden="false" customHeight="true" outlineLevel="0" collapsed="false">
      <c r="A27" s="88" t="n">
        <f aca="false">IF(C27="","",ROW()-5)</f>
        <v>22</v>
      </c>
      <c r="B27" s="89" t="s">
        <v>162</v>
      </c>
      <c r="C27" s="102" t="s">
        <v>189</v>
      </c>
      <c r="D27" s="103" t="s">
        <v>190</v>
      </c>
      <c r="E27" s="88" t="n">
        <v>2</v>
      </c>
      <c r="F27" s="91" t="s">
        <v>192</v>
      </c>
      <c r="G27" s="92"/>
      <c r="H27" s="93"/>
      <c r="I27" s="17"/>
      <c r="J27" s="94"/>
      <c r="K27" s="17"/>
      <c r="L27" s="95"/>
      <c r="M27" s="18"/>
      <c r="N27" s="96"/>
      <c r="O27" s="96"/>
      <c r="P27" s="97"/>
      <c r="Q27" s="98"/>
      <c r="R27" s="99"/>
      <c r="S27" s="99"/>
      <c r="T27" s="95"/>
      <c r="U27" s="95"/>
      <c r="V27" s="94"/>
      <c r="W27" s="95"/>
      <c r="X27" s="95" t="n">
        <f aca="false">IF(C27="","",SUM(L27,T27,U27,W27))</f>
        <v>0</v>
      </c>
      <c r="Y27" s="100" t="str">
        <f aca="false">IF(OR(C27="",H27=""),"",X27-H27)</f>
        <v/>
      </c>
      <c r="Z27" s="88"/>
      <c r="AA27" s="88"/>
      <c r="AB27" s="17"/>
      <c r="AC27" s="17"/>
    </row>
    <row r="28" customFormat="false" ht="84" hidden="false" customHeight="true" outlineLevel="0" collapsed="false">
      <c r="A28" s="88" t="n">
        <f aca="false">IF(C28="","",ROW()-5)</f>
        <v>23</v>
      </c>
      <c r="B28" s="89" t="s">
        <v>162</v>
      </c>
      <c r="C28" s="102" t="s">
        <v>189</v>
      </c>
      <c r="D28" s="103" t="s">
        <v>190</v>
      </c>
      <c r="E28" s="88" t="n">
        <v>3</v>
      </c>
      <c r="F28" s="91" t="s">
        <v>193</v>
      </c>
      <c r="G28" s="92"/>
      <c r="H28" s="93"/>
      <c r="I28" s="17"/>
      <c r="J28" s="94"/>
      <c r="K28" s="17"/>
      <c r="L28" s="95"/>
      <c r="M28" s="18"/>
      <c r="N28" s="96"/>
      <c r="O28" s="96"/>
      <c r="P28" s="97"/>
      <c r="Q28" s="98"/>
      <c r="R28" s="99"/>
      <c r="S28" s="99"/>
      <c r="T28" s="95"/>
      <c r="U28" s="95"/>
      <c r="V28" s="94"/>
      <c r="W28" s="95"/>
      <c r="X28" s="95" t="n">
        <f aca="false">IF(C28="","",SUM(L28,T28,U28,W28))</f>
        <v>0</v>
      </c>
      <c r="Y28" s="100" t="str">
        <f aca="false">IF(OR(C28="",H28=""),"",X28-H28)</f>
        <v/>
      </c>
      <c r="Z28" s="88"/>
      <c r="AA28" s="88"/>
      <c r="AB28" s="17"/>
      <c r="AC28" s="17"/>
    </row>
    <row r="29" customFormat="false" ht="408.75" hidden="false" customHeight="true" outlineLevel="0" collapsed="false">
      <c r="A29" s="88" t="n">
        <f aca="false">IF(C29="","",ROW()-5)</f>
        <v>24</v>
      </c>
      <c r="B29" s="89" t="s">
        <v>162</v>
      </c>
      <c r="C29" s="102" t="s">
        <v>189</v>
      </c>
      <c r="D29" s="103" t="s">
        <v>190</v>
      </c>
      <c r="E29" s="102" t="n">
        <v>4</v>
      </c>
      <c r="F29" s="104" t="s">
        <v>194</v>
      </c>
      <c r="G29" s="92"/>
      <c r="H29" s="93"/>
      <c r="I29" s="17"/>
      <c r="J29" s="94"/>
      <c r="K29" s="17"/>
      <c r="L29" s="95"/>
      <c r="M29" s="18"/>
      <c r="N29" s="96"/>
      <c r="O29" s="96"/>
      <c r="P29" s="97"/>
      <c r="Q29" s="98"/>
      <c r="R29" s="99"/>
      <c r="S29" s="99"/>
      <c r="T29" s="95"/>
      <c r="U29" s="95"/>
      <c r="V29" s="94"/>
      <c r="W29" s="95"/>
      <c r="X29" s="95" t="n">
        <f aca="false">IF(C29="","",SUM(L29,T29,U29,W29))</f>
        <v>0</v>
      </c>
      <c r="Y29" s="100" t="str">
        <f aca="false">IF(OR(C29="",H29=""),"",X29-H29)</f>
        <v/>
      </c>
      <c r="Z29" s="88"/>
      <c r="AA29" s="88"/>
      <c r="AB29" s="17"/>
      <c r="AC29" s="17"/>
    </row>
    <row r="30" customFormat="false" ht="70.5" hidden="false" customHeight="true" outlineLevel="0" collapsed="false">
      <c r="A30" s="88" t="n">
        <f aca="false">IF(C30="","",ROW()-5)</f>
        <v>25</v>
      </c>
      <c r="B30" s="89" t="s">
        <v>162</v>
      </c>
      <c r="C30" s="88" t="s">
        <v>195</v>
      </c>
      <c r="D30" s="90" t="s">
        <v>196</v>
      </c>
      <c r="E30" s="88" t="n">
        <v>1</v>
      </c>
      <c r="F30" s="91" t="s">
        <v>197</v>
      </c>
      <c r="G30" s="92"/>
      <c r="H30" s="93"/>
      <c r="I30" s="17"/>
      <c r="J30" s="94"/>
      <c r="K30" s="17"/>
      <c r="L30" s="95"/>
      <c r="M30" s="18"/>
      <c r="N30" s="96"/>
      <c r="O30" s="96"/>
      <c r="P30" s="97"/>
      <c r="Q30" s="98"/>
      <c r="R30" s="99"/>
      <c r="S30" s="99"/>
      <c r="T30" s="95"/>
      <c r="U30" s="95"/>
      <c r="V30" s="94"/>
      <c r="W30" s="95"/>
      <c r="X30" s="95" t="n">
        <f aca="false">IF(C30="","",SUM(L30,T30,U30,W30))</f>
        <v>0</v>
      </c>
      <c r="Y30" s="100" t="str">
        <f aca="false">IF(OR(C30="",H30=""),"",X30-H30)</f>
        <v/>
      </c>
      <c r="Z30" s="88"/>
      <c r="AA30" s="88"/>
      <c r="AB30" s="17"/>
      <c r="AC30" s="17"/>
    </row>
    <row r="31" customFormat="false" ht="84" hidden="false" customHeight="true" outlineLevel="0" collapsed="false">
      <c r="A31" s="88" t="n">
        <f aca="false">IF(C31="","",ROW()-5)</f>
        <v>26</v>
      </c>
      <c r="B31" s="89" t="s">
        <v>162</v>
      </c>
      <c r="C31" s="88" t="s">
        <v>195</v>
      </c>
      <c r="D31" s="90" t="s">
        <v>196</v>
      </c>
      <c r="E31" s="88" t="n">
        <v>2</v>
      </c>
      <c r="F31" s="91" t="s">
        <v>198</v>
      </c>
      <c r="G31" s="92"/>
      <c r="H31" s="93"/>
      <c r="I31" s="17"/>
      <c r="J31" s="94"/>
      <c r="K31" s="17"/>
      <c r="L31" s="95"/>
      <c r="M31" s="18"/>
      <c r="N31" s="96"/>
      <c r="O31" s="96"/>
      <c r="P31" s="97"/>
      <c r="Q31" s="98"/>
      <c r="R31" s="99"/>
      <c r="S31" s="99"/>
      <c r="T31" s="95"/>
      <c r="U31" s="95"/>
      <c r="V31" s="94"/>
      <c r="W31" s="95"/>
      <c r="X31" s="95" t="n">
        <f aca="false">IF(C31="","",SUM(L31,T31,U31,W31))</f>
        <v>0</v>
      </c>
      <c r="Y31" s="100" t="str">
        <f aca="false">IF(OR(C31="",H31=""),"",X31-H31)</f>
        <v/>
      </c>
      <c r="Z31" s="88"/>
      <c r="AA31" s="88"/>
      <c r="AB31" s="17"/>
      <c r="AC31" s="17"/>
    </row>
    <row r="32" customFormat="false" ht="70.5" hidden="false" customHeight="true" outlineLevel="0" collapsed="false">
      <c r="A32" s="88" t="n">
        <f aca="false">IF(C32="","",ROW()-5)</f>
        <v>27</v>
      </c>
      <c r="B32" s="89" t="s">
        <v>162</v>
      </c>
      <c r="C32" s="88" t="s">
        <v>195</v>
      </c>
      <c r="D32" s="90" t="s">
        <v>196</v>
      </c>
      <c r="E32" s="88" t="n">
        <v>3</v>
      </c>
      <c r="F32" s="91" t="s">
        <v>199</v>
      </c>
      <c r="G32" s="92"/>
      <c r="H32" s="93"/>
      <c r="I32" s="17"/>
      <c r="J32" s="94"/>
      <c r="K32" s="17"/>
      <c r="L32" s="95"/>
      <c r="M32" s="18"/>
      <c r="N32" s="96"/>
      <c r="O32" s="96"/>
      <c r="P32" s="97"/>
      <c r="Q32" s="98"/>
      <c r="R32" s="99"/>
      <c r="S32" s="99"/>
      <c r="T32" s="95"/>
      <c r="U32" s="95"/>
      <c r="V32" s="94"/>
      <c r="W32" s="95"/>
      <c r="X32" s="95" t="n">
        <f aca="false">IF(C32="","",SUM(L32,T32,U32,W32))</f>
        <v>0</v>
      </c>
      <c r="Y32" s="100" t="str">
        <f aca="false">IF(OR(C32="",H32=""),"",X32-H32)</f>
        <v/>
      </c>
      <c r="Z32" s="88"/>
      <c r="AA32" s="88"/>
      <c r="AB32" s="17"/>
      <c r="AC32" s="17"/>
    </row>
    <row r="33" customFormat="false" ht="70.5" hidden="false" customHeight="true" outlineLevel="0" collapsed="false">
      <c r="A33" s="88" t="n">
        <f aca="false">IF(C33="","",ROW()-5)</f>
        <v>28</v>
      </c>
      <c r="B33" s="89" t="s">
        <v>162</v>
      </c>
      <c r="C33" s="88" t="s">
        <v>195</v>
      </c>
      <c r="D33" s="90" t="s">
        <v>196</v>
      </c>
      <c r="E33" s="88" t="n">
        <v>4</v>
      </c>
      <c r="F33" s="91" t="s">
        <v>200</v>
      </c>
      <c r="G33" s="92"/>
      <c r="H33" s="93"/>
      <c r="I33" s="17"/>
      <c r="J33" s="94"/>
      <c r="K33" s="17"/>
      <c r="L33" s="95"/>
      <c r="M33" s="18"/>
      <c r="N33" s="96"/>
      <c r="O33" s="96"/>
      <c r="P33" s="97"/>
      <c r="Q33" s="98"/>
      <c r="R33" s="99"/>
      <c r="S33" s="99"/>
      <c r="T33" s="95"/>
      <c r="U33" s="95"/>
      <c r="V33" s="94"/>
      <c r="W33" s="95"/>
      <c r="X33" s="95" t="n">
        <f aca="false">IF(C33="","",SUM(L33,T33,U33,W33))</f>
        <v>0</v>
      </c>
      <c r="Y33" s="100" t="str">
        <f aca="false">IF(OR(C33="",H33=""),"",X33-H33)</f>
        <v/>
      </c>
      <c r="Z33" s="88"/>
      <c r="AA33" s="88"/>
      <c r="AB33" s="17"/>
      <c r="AC33" s="17"/>
    </row>
    <row r="34" customFormat="false" ht="57.75" hidden="false" customHeight="true" outlineLevel="0" collapsed="false">
      <c r="A34" s="88" t="n">
        <f aca="false">IF(C34="","",ROW()-5)</f>
        <v>29</v>
      </c>
      <c r="B34" s="89" t="s">
        <v>162</v>
      </c>
      <c r="C34" s="88" t="s">
        <v>195</v>
      </c>
      <c r="D34" s="90" t="s">
        <v>196</v>
      </c>
      <c r="E34" s="88" t="n">
        <v>5</v>
      </c>
      <c r="F34" s="101" t="s">
        <v>201</v>
      </c>
      <c r="G34" s="92"/>
      <c r="H34" s="93"/>
      <c r="I34" s="17"/>
      <c r="J34" s="94"/>
      <c r="K34" s="17"/>
      <c r="L34" s="95"/>
      <c r="M34" s="18"/>
      <c r="N34" s="96"/>
      <c r="O34" s="96"/>
      <c r="P34" s="97"/>
      <c r="Q34" s="98"/>
      <c r="R34" s="99"/>
      <c r="S34" s="99"/>
      <c r="T34" s="95"/>
      <c r="U34" s="95"/>
      <c r="V34" s="94"/>
      <c r="W34" s="95"/>
      <c r="X34" s="95" t="n">
        <f aca="false">IF(C34="","",SUM(L34,T34,U34,W34))</f>
        <v>0</v>
      </c>
      <c r="Y34" s="100" t="str">
        <f aca="false">IF(OR(C34="",H34=""),"",X34-H34)</f>
        <v/>
      </c>
      <c r="Z34" s="88"/>
      <c r="AA34" s="88"/>
      <c r="AB34" s="17"/>
      <c r="AC34" s="17"/>
    </row>
    <row r="35" customFormat="false" ht="45" hidden="false" customHeight="true" outlineLevel="0" collapsed="false">
      <c r="A35" s="88" t="n">
        <f aca="false">IF(C35="","",ROW()-5)</f>
        <v>30</v>
      </c>
      <c r="B35" s="89" t="s">
        <v>162</v>
      </c>
      <c r="C35" s="88" t="s">
        <v>195</v>
      </c>
      <c r="D35" s="90" t="s">
        <v>196</v>
      </c>
      <c r="E35" s="88" t="n">
        <v>6</v>
      </c>
      <c r="F35" s="91" t="s">
        <v>202</v>
      </c>
      <c r="G35" s="92"/>
      <c r="H35" s="93"/>
      <c r="I35" s="17"/>
      <c r="J35" s="94"/>
      <c r="K35" s="17"/>
      <c r="L35" s="95"/>
      <c r="M35" s="18"/>
      <c r="N35" s="96"/>
      <c r="O35" s="96"/>
      <c r="P35" s="97"/>
      <c r="Q35" s="98"/>
      <c r="R35" s="99"/>
      <c r="S35" s="99"/>
      <c r="T35" s="95"/>
      <c r="U35" s="95"/>
      <c r="V35" s="94"/>
      <c r="W35" s="95"/>
      <c r="X35" s="95" t="n">
        <f aca="false">IF(C35="","",SUM(L35,T35,U35,W35))</f>
        <v>0</v>
      </c>
      <c r="Y35" s="100" t="str">
        <f aca="false">IF(OR(C35="",H35=""),"",X35-H35)</f>
        <v/>
      </c>
      <c r="Z35" s="88"/>
      <c r="AA35" s="88"/>
      <c r="AB35" s="17"/>
      <c r="AC35" s="17"/>
    </row>
    <row r="36" customFormat="false" ht="57.75" hidden="false" customHeight="true" outlineLevel="0" collapsed="false">
      <c r="A36" s="88" t="n">
        <f aca="false">IF(C36="","",ROW()-5)</f>
        <v>31</v>
      </c>
      <c r="B36" s="89" t="s">
        <v>162</v>
      </c>
      <c r="C36" s="88" t="s">
        <v>203</v>
      </c>
      <c r="D36" s="90" t="s">
        <v>204</v>
      </c>
      <c r="E36" s="88" t="n">
        <v>1</v>
      </c>
      <c r="F36" s="91" t="s">
        <v>205</v>
      </c>
      <c r="G36" s="92"/>
      <c r="H36" s="93"/>
      <c r="I36" s="17"/>
      <c r="J36" s="94"/>
      <c r="K36" s="17"/>
      <c r="L36" s="95"/>
      <c r="M36" s="18"/>
      <c r="N36" s="96"/>
      <c r="O36" s="96"/>
      <c r="P36" s="97"/>
      <c r="Q36" s="98"/>
      <c r="R36" s="99"/>
      <c r="S36" s="99"/>
      <c r="T36" s="95"/>
      <c r="U36" s="95"/>
      <c r="V36" s="94"/>
      <c r="W36" s="95"/>
      <c r="X36" s="95" t="n">
        <f aca="false">IF(C36="","",SUM(L36,T36,U36,W36))</f>
        <v>0</v>
      </c>
      <c r="Y36" s="100" t="str">
        <f aca="false">IF(OR(C36="",H36=""),"",X36-H36)</f>
        <v/>
      </c>
      <c r="Z36" s="88"/>
      <c r="AA36" s="88"/>
      <c r="AB36" s="17"/>
      <c r="AC36" s="17"/>
    </row>
    <row r="37" customFormat="false" ht="57.75" hidden="false" customHeight="true" outlineLevel="0" collapsed="false">
      <c r="A37" s="88" t="n">
        <f aca="false">IF(C37="","",ROW()-5)</f>
        <v>32</v>
      </c>
      <c r="B37" s="89" t="s">
        <v>162</v>
      </c>
      <c r="C37" s="88" t="s">
        <v>203</v>
      </c>
      <c r="D37" s="90" t="s">
        <v>204</v>
      </c>
      <c r="E37" s="88" t="n">
        <v>2</v>
      </c>
      <c r="F37" s="101" t="s">
        <v>206</v>
      </c>
      <c r="G37" s="92"/>
      <c r="H37" s="93"/>
      <c r="I37" s="17"/>
      <c r="J37" s="94"/>
      <c r="K37" s="17"/>
      <c r="L37" s="95"/>
      <c r="M37" s="18"/>
      <c r="N37" s="96"/>
      <c r="O37" s="96"/>
      <c r="P37" s="97"/>
      <c r="Q37" s="98"/>
      <c r="R37" s="99"/>
      <c r="S37" s="99"/>
      <c r="T37" s="95"/>
      <c r="U37" s="95"/>
      <c r="V37" s="94"/>
      <c r="W37" s="95"/>
      <c r="X37" s="95" t="n">
        <f aca="false">IF(C37="","",SUM(L37,T37,U37,W37))</f>
        <v>0</v>
      </c>
      <c r="Y37" s="100" t="str">
        <f aca="false">IF(OR(C37="",H37=""),"",X37-H37)</f>
        <v/>
      </c>
      <c r="Z37" s="88"/>
      <c r="AA37" s="88"/>
      <c r="AB37" s="17"/>
      <c r="AC37" s="17"/>
    </row>
    <row r="38" customFormat="false" ht="57.75" hidden="false" customHeight="true" outlineLevel="0" collapsed="false">
      <c r="A38" s="88" t="n">
        <f aca="false">IF(C38="","",ROW()-5)</f>
        <v>33</v>
      </c>
      <c r="B38" s="89" t="s">
        <v>162</v>
      </c>
      <c r="C38" s="88" t="s">
        <v>203</v>
      </c>
      <c r="D38" s="90" t="s">
        <v>204</v>
      </c>
      <c r="E38" s="88" t="n">
        <v>3</v>
      </c>
      <c r="F38" s="91" t="s">
        <v>207</v>
      </c>
      <c r="G38" s="92"/>
      <c r="H38" s="93"/>
      <c r="I38" s="17"/>
      <c r="J38" s="94"/>
      <c r="K38" s="17"/>
      <c r="L38" s="95"/>
      <c r="M38" s="18"/>
      <c r="N38" s="96"/>
      <c r="O38" s="96"/>
      <c r="P38" s="97"/>
      <c r="Q38" s="98"/>
      <c r="R38" s="99"/>
      <c r="S38" s="99"/>
      <c r="T38" s="95"/>
      <c r="U38" s="95"/>
      <c r="V38" s="94"/>
      <c r="W38" s="95"/>
      <c r="X38" s="95" t="n">
        <f aca="false">IF(C38="","",SUM(L38,T38,U38,W38))</f>
        <v>0</v>
      </c>
      <c r="Y38" s="100" t="str">
        <f aca="false">IF(OR(C38="",H38=""),"",X38-H38)</f>
        <v/>
      </c>
      <c r="Z38" s="88"/>
      <c r="AA38" s="88"/>
      <c r="AB38" s="17"/>
      <c r="AC38" s="17"/>
    </row>
    <row r="39" customFormat="false" ht="57.75" hidden="false" customHeight="true" outlineLevel="0" collapsed="false">
      <c r="A39" s="88" t="n">
        <f aca="false">IF(C39="","",ROW()-5)</f>
        <v>34</v>
      </c>
      <c r="B39" s="89" t="s">
        <v>162</v>
      </c>
      <c r="C39" s="88" t="s">
        <v>203</v>
      </c>
      <c r="D39" s="90" t="s">
        <v>204</v>
      </c>
      <c r="E39" s="88" t="n">
        <v>4</v>
      </c>
      <c r="F39" s="101" t="s">
        <v>208</v>
      </c>
      <c r="G39" s="92"/>
      <c r="H39" s="93"/>
      <c r="I39" s="17"/>
      <c r="J39" s="94"/>
      <c r="K39" s="17"/>
      <c r="L39" s="95"/>
      <c r="M39" s="18"/>
      <c r="N39" s="96"/>
      <c r="O39" s="96"/>
      <c r="P39" s="97"/>
      <c r="Q39" s="98"/>
      <c r="R39" s="99"/>
      <c r="S39" s="99"/>
      <c r="T39" s="95"/>
      <c r="U39" s="95"/>
      <c r="V39" s="94"/>
      <c r="W39" s="95"/>
      <c r="X39" s="95" t="n">
        <f aca="false">IF(C39="","",SUM(L39,T39,U39,W39))</f>
        <v>0</v>
      </c>
      <c r="Y39" s="100" t="str">
        <f aca="false">IF(OR(C39="",H39=""),"",X39-H39)</f>
        <v/>
      </c>
      <c r="Z39" s="88"/>
      <c r="AA39" s="88"/>
      <c r="AB39" s="17"/>
      <c r="AC39" s="17"/>
    </row>
    <row r="40" customFormat="false" ht="45" hidden="false" customHeight="true" outlineLevel="0" collapsed="false">
      <c r="A40" s="88" t="n">
        <f aca="false">IF(C40="","",ROW()-5)</f>
        <v>35</v>
      </c>
      <c r="B40" s="89" t="s">
        <v>162</v>
      </c>
      <c r="C40" s="88" t="s">
        <v>203</v>
      </c>
      <c r="D40" s="90" t="s">
        <v>204</v>
      </c>
      <c r="E40" s="88" t="n">
        <v>5</v>
      </c>
      <c r="F40" s="91" t="s">
        <v>209</v>
      </c>
      <c r="G40" s="92"/>
      <c r="H40" s="93"/>
      <c r="I40" s="17"/>
      <c r="J40" s="94"/>
      <c r="K40" s="17"/>
      <c r="L40" s="95"/>
      <c r="M40" s="18"/>
      <c r="N40" s="96"/>
      <c r="O40" s="96"/>
      <c r="P40" s="97"/>
      <c r="Q40" s="98"/>
      <c r="R40" s="99"/>
      <c r="S40" s="99"/>
      <c r="T40" s="95"/>
      <c r="U40" s="95"/>
      <c r="V40" s="94"/>
      <c r="W40" s="95"/>
      <c r="X40" s="95" t="n">
        <f aca="false">IF(C40="","",SUM(L40,T40,U40,W40))</f>
        <v>0</v>
      </c>
      <c r="Y40" s="100" t="str">
        <f aca="false">IF(OR(C40="",H40=""),"",X40-H40)</f>
        <v/>
      </c>
      <c r="Z40" s="88"/>
      <c r="AA40" s="88"/>
      <c r="AB40" s="17"/>
      <c r="AC40" s="17"/>
    </row>
    <row r="41" customFormat="false" ht="70.5" hidden="false" customHeight="true" outlineLevel="0" collapsed="false">
      <c r="A41" s="88" t="n">
        <f aca="false">IF(C41="","",ROW()-5)</f>
        <v>36</v>
      </c>
      <c r="B41" s="89" t="s">
        <v>162</v>
      </c>
      <c r="C41" s="88" t="s">
        <v>210</v>
      </c>
      <c r="D41" s="90" t="s">
        <v>211</v>
      </c>
      <c r="E41" s="88" t="n">
        <v>1</v>
      </c>
      <c r="F41" s="101" t="s">
        <v>212</v>
      </c>
      <c r="G41" s="92"/>
      <c r="H41" s="93"/>
      <c r="I41" s="17"/>
      <c r="J41" s="94"/>
      <c r="K41" s="17"/>
      <c r="L41" s="95"/>
      <c r="M41" s="18"/>
      <c r="N41" s="96"/>
      <c r="O41" s="96"/>
      <c r="P41" s="97"/>
      <c r="Q41" s="98"/>
      <c r="R41" s="99"/>
      <c r="S41" s="99"/>
      <c r="T41" s="95"/>
      <c r="U41" s="95"/>
      <c r="V41" s="94"/>
      <c r="W41" s="95"/>
      <c r="X41" s="95" t="n">
        <f aca="false">IF(C41="","",SUM(L41,T41,U41,W41))</f>
        <v>0</v>
      </c>
      <c r="Y41" s="100" t="str">
        <f aca="false">IF(OR(C41="",H41=""),"",X41-H41)</f>
        <v/>
      </c>
      <c r="Z41" s="88"/>
      <c r="AA41" s="88"/>
      <c r="AB41" s="17"/>
      <c r="AC41" s="17"/>
    </row>
    <row r="42" customFormat="false" ht="57.75" hidden="false" customHeight="true" outlineLevel="0" collapsed="false">
      <c r="A42" s="88" t="n">
        <f aca="false">IF(C42="","",ROW()-5)</f>
        <v>37</v>
      </c>
      <c r="B42" s="89" t="s">
        <v>162</v>
      </c>
      <c r="C42" s="88" t="s">
        <v>210</v>
      </c>
      <c r="D42" s="90" t="s">
        <v>211</v>
      </c>
      <c r="E42" s="88" t="n">
        <v>2</v>
      </c>
      <c r="F42" s="101" t="s">
        <v>213</v>
      </c>
      <c r="G42" s="92"/>
      <c r="H42" s="93"/>
      <c r="I42" s="17"/>
      <c r="J42" s="94"/>
      <c r="K42" s="17"/>
      <c r="L42" s="95"/>
      <c r="M42" s="18"/>
      <c r="N42" s="96"/>
      <c r="O42" s="96"/>
      <c r="P42" s="97"/>
      <c r="Q42" s="98"/>
      <c r="R42" s="99"/>
      <c r="S42" s="99"/>
      <c r="T42" s="95"/>
      <c r="U42" s="95"/>
      <c r="V42" s="94"/>
      <c r="W42" s="95"/>
      <c r="X42" s="95" t="n">
        <f aca="false">IF(C42="","",SUM(L42,T42,U42,W42))</f>
        <v>0</v>
      </c>
      <c r="Y42" s="100" t="str">
        <f aca="false">IF(OR(C42="",H42=""),"",X42-H42)</f>
        <v/>
      </c>
      <c r="Z42" s="88"/>
      <c r="AA42" s="88"/>
      <c r="AB42" s="17"/>
      <c r="AC42" s="17"/>
    </row>
    <row r="43" customFormat="false" ht="70.5" hidden="false" customHeight="true" outlineLevel="0" collapsed="false">
      <c r="A43" s="88" t="n">
        <f aca="false">IF(C43="","",ROW()-5)</f>
        <v>38</v>
      </c>
      <c r="B43" s="89" t="s">
        <v>162</v>
      </c>
      <c r="C43" s="88" t="s">
        <v>210</v>
      </c>
      <c r="D43" s="90" t="s">
        <v>211</v>
      </c>
      <c r="E43" s="88" t="n">
        <v>3</v>
      </c>
      <c r="F43" s="101" t="s">
        <v>214</v>
      </c>
      <c r="G43" s="92"/>
      <c r="H43" s="93"/>
      <c r="I43" s="17"/>
      <c r="J43" s="94"/>
      <c r="K43" s="17"/>
      <c r="L43" s="95"/>
      <c r="M43" s="18"/>
      <c r="N43" s="96"/>
      <c r="O43" s="96"/>
      <c r="P43" s="97"/>
      <c r="Q43" s="98"/>
      <c r="R43" s="99"/>
      <c r="S43" s="99"/>
      <c r="T43" s="95"/>
      <c r="U43" s="95"/>
      <c r="V43" s="94"/>
      <c r="W43" s="95"/>
      <c r="X43" s="95" t="n">
        <f aca="false">IF(C43="","",SUM(L43,T43,U43,W43))</f>
        <v>0</v>
      </c>
      <c r="Y43" s="100" t="str">
        <f aca="false">IF(OR(C43="",H43=""),"",X43-H43)</f>
        <v/>
      </c>
      <c r="Z43" s="88"/>
      <c r="AA43" s="88"/>
      <c r="AB43" s="17"/>
      <c r="AC43" s="17"/>
    </row>
    <row r="44" customFormat="false" ht="57.75" hidden="false" customHeight="true" outlineLevel="0" collapsed="false">
      <c r="A44" s="88" t="n">
        <f aca="false">IF(C44="","",ROW()-5)</f>
        <v>39</v>
      </c>
      <c r="B44" s="89" t="s">
        <v>162</v>
      </c>
      <c r="C44" s="88" t="s">
        <v>210</v>
      </c>
      <c r="D44" s="90" t="s">
        <v>211</v>
      </c>
      <c r="E44" s="88" t="n">
        <v>4</v>
      </c>
      <c r="F44" s="91" t="s">
        <v>215</v>
      </c>
      <c r="G44" s="92"/>
      <c r="H44" s="93"/>
      <c r="I44" s="17"/>
      <c r="J44" s="94"/>
      <c r="K44" s="17"/>
      <c r="L44" s="95"/>
      <c r="M44" s="18"/>
      <c r="N44" s="96"/>
      <c r="O44" s="96"/>
      <c r="P44" s="97"/>
      <c r="Q44" s="98"/>
      <c r="R44" s="99"/>
      <c r="S44" s="99"/>
      <c r="T44" s="95"/>
      <c r="U44" s="95"/>
      <c r="V44" s="94"/>
      <c r="W44" s="95"/>
      <c r="X44" s="95" t="n">
        <f aca="false">IF(C44="","",SUM(L44,T44,U44,W44))</f>
        <v>0</v>
      </c>
      <c r="Y44" s="100" t="str">
        <f aca="false">IF(OR(C44="",H44=""),"",X44-H44)</f>
        <v/>
      </c>
      <c r="Z44" s="88"/>
      <c r="AA44" s="88"/>
      <c r="AB44" s="17"/>
      <c r="AC44" s="17"/>
    </row>
    <row r="45" customFormat="false" ht="57.75" hidden="false" customHeight="true" outlineLevel="0" collapsed="false">
      <c r="A45" s="88" t="n">
        <f aca="false">IF(C45="","",ROW()-5)</f>
        <v>40</v>
      </c>
      <c r="B45" s="89" t="s">
        <v>162</v>
      </c>
      <c r="C45" s="88" t="s">
        <v>216</v>
      </c>
      <c r="D45" s="90" t="s">
        <v>217</v>
      </c>
      <c r="E45" s="88" t="n">
        <v>1</v>
      </c>
      <c r="F45" s="101" t="s">
        <v>218</v>
      </c>
      <c r="G45" s="92"/>
      <c r="H45" s="93"/>
      <c r="I45" s="17"/>
      <c r="J45" s="94"/>
      <c r="K45" s="17"/>
      <c r="L45" s="95"/>
      <c r="M45" s="18"/>
      <c r="N45" s="96"/>
      <c r="O45" s="96"/>
      <c r="P45" s="97"/>
      <c r="Q45" s="98"/>
      <c r="R45" s="99"/>
      <c r="S45" s="99"/>
      <c r="T45" s="95"/>
      <c r="U45" s="95"/>
      <c r="V45" s="94"/>
      <c r="W45" s="95"/>
      <c r="X45" s="95" t="n">
        <f aca="false">IF(C45="","",SUM(L45,T45,U45,W45))</f>
        <v>0</v>
      </c>
      <c r="Y45" s="100" t="str">
        <f aca="false">IF(OR(C45="",H45=""),"",X45-H45)</f>
        <v/>
      </c>
      <c r="Z45" s="88"/>
      <c r="AA45" s="88"/>
      <c r="AB45" s="17"/>
      <c r="AC45" s="17"/>
    </row>
    <row r="46" customFormat="false" ht="70.5" hidden="false" customHeight="true" outlineLevel="0" collapsed="false">
      <c r="A46" s="88" t="n">
        <f aca="false">IF(C46="","",ROW()-5)</f>
        <v>41</v>
      </c>
      <c r="B46" s="89" t="s">
        <v>162</v>
      </c>
      <c r="C46" s="88" t="s">
        <v>216</v>
      </c>
      <c r="D46" s="90" t="s">
        <v>217</v>
      </c>
      <c r="E46" s="88" t="n">
        <v>2</v>
      </c>
      <c r="F46" s="101" t="s">
        <v>219</v>
      </c>
      <c r="G46" s="92"/>
      <c r="H46" s="93"/>
      <c r="I46" s="17"/>
      <c r="J46" s="94"/>
      <c r="K46" s="17"/>
      <c r="L46" s="95"/>
      <c r="M46" s="18"/>
      <c r="N46" s="96"/>
      <c r="O46" s="96"/>
      <c r="P46" s="97"/>
      <c r="Q46" s="98"/>
      <c r="R46" s="99"/>
      <c r="S46" s="99"/>
      <c r="T46" s="95"/>
      <c r="U46" s="95"/>
      <c r="V46" s="94"/>
      <c r="W46" s="95"/>
      <c r="X46" s="95" t="n">
        <f aca="false">IF(C46="","",SUM(L46,T46,U46,W46))</f>
        <v>0</v>
      </c>
      <c r="Y46" s="100" t="str">
        <f aca="false">IF(OR(C46="",H46=""),"",X46-H46)</f>
        <v/>
      </c>
      <c r="Z46" s="88"/>
      <c r="AA46" s="88"/>
      <c r="AB46" s="17"/>
      <c r="AC46" s="17"/>
    </row>
    <row r="47" customFormat="false" ht="70.5" hidden="false" customHeight="true" outlineLevel="0" collapsed="false">
      <c r="A47" s="88" t="n">
        <f aca="false">IF(C47="","",ROW()-5)</f>
        <v>42</v>
      </c>
      <c r="B47" s="89" t="s">
        <v>162</v>
      </c>
      <c r="C47" s="88" t="s">
        <v>216</v>
      </c>
      <c r="D47" s="90" t="s">
        <v>217</v>
      </c>
      <c r="E47" s="88" t="n">
        <v>3</v>
      </c>
      <c r="F47" s="91" t="s">
        <v>220</v>
      </c>
      <c r="G47" s="92"/>
      <c r="H47" s="93"/>
      <c r="I47" s="17"/>
      <c r="J47" s="94"/>
      <c r="K47" s="17"/>
      <c r="L47" s="95"/>
      <c r="M47" s="18"/>
      <c r="N47" s="96"/>
      <c r="O47" s="96"/>
      <c r="P47" s="97"/>
      <c r="Q47" s="98"/>
      <c r="R47" s="99"/>
      <c r="S47" s="99"/>
      <c r="T47" s="95"/>
      <c r="U47" s="95"/>
      <c r="V47" s="94"/>
      <c r="W47" s="95"/>
      <c r="X47" s="95" t="n">
        <f aca="false">IF(C47="","",SUM(L47,T47,U47,W47))</f>
        <v>0</v>
      </c>
      <c r="Y47" s="100" t="str">
        <f aca="false">IF(OR(C47="",H47=""),"",X47-H47)</f>
        <v/>
      </c>
      <c r="Z47" s="88"/>
      <c r="AA47" s="88"/>
      <c r="AB47" s="17"/>
      <c r="AC47" s="17"/>
    </row>
    <row r="48" customFormat="false" ht="84" hidden="false" customHeight="true" outlineLevel="0" collapsed="false">
      <c r="A48" s="88" t="n">
        <f aca="false">IF(C48="","",ROW()-5)</f>
        <v>43</v>
      </c>
      <c r="B48" s="89" t="s">
        <v>162</v>
      </c>
      <c r="C48" s="88" t="s">
        <v>216</v>
      </c>
      <c r="D48" s="90" t="s">
        <v>217</v>
      </c>
      <c r="E48" s="88" t="n">
        <v>4</v>
      </c>
      <c r="F48" s="91" t="s">
        <v>221</v>
      </c>
      <c r="G48" s="92"/>
      <c r="H48" s="93"/>
      <c r="I48" s="17"/>
      <c r="J48" s="94"/>
      <c r="K48" s="17"/>
      <c r="L48" s="95"/>
      <c r="M48" s="18"/>
      <c r="N48" s="96"/>
      <c r="O48" s="96"/>
      <c r="P48" s="97"/>
      <c r="Q48" s="98"/>
      <c r="R48" s="99"/>
      <c r="S48" s="99"/>
      <c r="T48" s="95"/>
      <c r="U48" s="95"/>
      <c r="V48" s="94"/>
      <c r="W48" s="95"/>
      <c r="X48" s="95" t="n">
        <f aca="false">IF(C48="","",SUM(L48,T48,U48,W48))</f>
        <v>0</v>
      </c>
      <c r="Y48" s="100" t="str">
        <f aca="false">IF(OR(C48="",H48=""),"",X48-H48)</f>
        <v/>
      </c>
      <c r="Z48" s="88"/>
      <c r="AA48" s="88"/>
      <c r="AB48" s="17"/>
      <c r="AC48" s="17"/>
    </row>
    <row r="49" customFormat="false" ht="57.75" hidden="false" customHeight="true" outlineLevel="0" collapsed="false">
      <c r="A49" s="88" t="n">
        <f aca="false">IF(C49="","",ROW()-5)</f>
        <v>44</v>
      </c>
      <c r="B49" s="89" t="s">
        <v>162</v>
      </c>
      <c r="C49" s="88" t="s">
        <v>216</v>
      </c>
      <c r="D49" s="90" t="s">
        <v>217</v>
      </c>
      <c r="E49" s="88" t="n">
        <v>5</v>
      </c>
      <c r="F49" s="91" t="s">
        <v>222</v>
      </c>
      <c r="G49" s="92"/>
      <c r="H49" s="93"/>
      <c r="I49" s="17"/>
      <c r="J49" s="94"/>
      <c r="K49" s="17"/>
      <c r="L49" s="95"/>
      <c r="M49" s="18"/>
      <c r="N49" s="96"/>
      <c r="O49" s="96"/>
      <c r="P49" s="97"/>
      <c r="Q49" s="98"/>
      <c r="R49" s="99"/>
      <c r="S49" s="99"/>
      <c r="T49" s="95"/>
      <c r="U49" s="95"/>
      <c r="V49" s="94"/>
      <c r="W49" s="95"/>
      <c r="X49" s="95" t="n">
        <f aca="false">IF(C49="","",SUM(L49,T49,U49,W49))</f>
        <v>0</v>
      </c>
      <c r="Y49" s="100" t="str">
        <f aca="false">IF(OR(C49="",H49=""),"",X49-H49)</f>
        <v/>
      </c>
      <c r="Z49" s="88"/>
      <c r="AA49" s="88"/>
      <c r="AB49" s="17"/>
      <c r="AC49" s="17"/>
    </row>
    <row r="50" customFormat="false" ht="57.75" hidden="false" customHeight="true" outlineLevel="0" collapsed="false">
      <c r="A50" s="88" t="n">
        <f aca="false">IF(C50="","",ROW()-5)</f>
        <v>45</v>
      </c>
      <c r="B50" s="89" t="s">
        <v>223</v>
      </c>
      <c r="C50" s="88" t="s">
        <v>224</v>
      </c>
      <c r="D50" s="103" t="s">
        <v>225</v>
      </c>
      <c r="E50" s="88" t="n">
        <v>1</v>
      </c>
      <c r="F50" s="101" t="s">
        <v>226</v>
      </c>
      <c r="G50" s="92"/>
      <c r="H50" s="93"/>
      <c r="I50" s="17"/>
      <c r="J50" s="94"/>
      <c r="K50" s="17"/>
      <c r="L50" s="95"/>
      <c r="M50" s="18"/>
      <c r="N50" s="96"/>
      <c r="O50" s="96"/>
      <c r="P50" s="97"/>
      <c r="Q50" s="98"/>
      <c r="R50" s="99"/>
      <c r="S50" s="99"/>
      <c r="T50" s="95"/>
      <c r="U50" s="95"/>
      <c r="V50" s="94"/>
      <c r="W50" s="95"/>
      <c r="X50" s="95" t="n">
        <f aca="false">IF(C50="","",SUM(L50,T50,U50,W50))</f>
        <v>0</v>
      </c>
      <c r="Y50" s="100" t="str">
        <f aca="false">IF(OR(C50="",H50=""),"",X50-H50)</f>
        <v/>
      </c>
      <c r="Z50" s="88"/>
      <c r="AA50" s="88"/>
      <c r="AB50" s="17"/>
      <c r="AC50" s="17"/>
    </row>
    <row r="51" customFormat="false" ht="45" hidden="false" customHeight="true" outlineLevel="0" collapsed="false">
      <c r="A51" s="88" t="n">
        <f aca="false">IF(C51="","",ROW()-5)</f>
        <v>46</v>
      </c>
      <c r="B51" s="89" t="s">
        <v>223</v>
      </c>
      <c r="C51" s="88" t="s">
        <v>224</v>
      </c>
      <c r="D51" s="103" t="s">
        <v>225</v>
      </c>
      <c r="E51" s="88" t="n">
        <v>2</v>
      </c>
      <c r="F51" s="91" t="s">
        <v>227</v>
      </c>
      <c r="G51" s="92"/>
      <c r="H51" s="93"/>
      <c r="I51" s="17"/>
      <c r="J51" s="94"/>
      <c r="K51" s="17"/>
      <c r="L51" s="95"/>
      <c r="M51" s="18"/>
      <c r="N51" s="96"/>
      <c r="O51" s="96"/>
      <c r="P51" s="97"/>
      <c r="Q51" s="98"/>
      <c r="R51" s="99"/>
      <c r="S51" s="99"/>
      <c r="T51" s="95"/>
      <c r="U51" s="95"/>
      <c r="V51" s="94"/>
      <c r="W51" s="95"/>
      <c r="X51" s="95" t="n">
        <f aca="false">IF(C51="","",SUM(L51,T51,U51,W51))</f>
        <v>0</v>
      </c>
      <c r="Y51" s="100" t="str">
        <f aca="false">IF(OR(C51="",H51=""),"",X51-H51)</f>
        <v/>
      </c>
      <c r="Z51" s="88"/>
      <c r="AA51" s="88"/>
      <c r="AB51" s="17"/>
      <c r="AC51" s="17"/>
    </row>
    <row r="52" customFormat="false" ht="57.75" hidden="false" customHeight="true" outlineLevel="0" collapsed="false">
      <c r="A52" s="88" t="n">
        <f aca="false">IF(C52="","",ROW()-5)</f>
        <v>47</v>
      </c>
      <c r="B52" s="89" t="s">
        <v>223</v>
      </c>
      <c r="C52" s="88" t="s">
        <v>224</v>
      </c>
      <c r="D52" s="103" t="s">
        <v>225</v>
      </c>
      <c r="E52" s="88" t="n">
        <v>3</v>
      </c>
      <c r="F52" s="91" t="s">
        <v>228</v>
      </c>
      <c r="G52" s="92"/>
      <c r="H52" s="93"/>
      <c r="I52" s="17"/>
      <c r="J52" s="94"/>
      <c r="K52" s="17"/>
      <c r="L52" s="95"/>
      <c r="M52" s="18"/>
      <c r="N52" s="96"/>
      <c r="O52" s="96"/>
      <c r="P52" s="97"/>
      <c r="Q52" s="98"/>
      <c r="R52" s="99"/>
      <c r="S52" s="99"/>
      <c r="T52" s="95"/>
      <c r="U52" s="95"/>
      <c r="V52" s="94"/>
      <c r="W52" s="95"/>
      <c r="X52" s="95" t="n">
        <f aca="false">IF(C52="","",SUM(L52,T52,U52,W52))</f>
        <v>0</v>
      </c>
      <c r="Y52" s="100" t="str">
        <f aca="false">IF(OR(C52="",H52=""),"",X52-H52)</f>
        <v/>
      </c>
      <c r="Z52" s="88"/>
      <c r="AA52" s="88"/>
      <c r="AB52" s="17"/>
      <c r="AC52" s="17"/>
    </row>
    <row r="53" customFormat="false" ht="57.75" hidden="false" customHeight="true" outlineLevel="0" collapsed="false">
      <c r="A53" s="88" t="n">
        <f aca="false">IF(C53="","",ROW()-5)</f>
        <v>48</v>
      </c>
      <c r="B53" s="89" t="s">
        <v>223</v>
      </c>
      <c r="C53" s="88" t="s">
        <v>224</v>
      </c>
      <c r="D53" s="103" t="s">
        <v>225</v>
      </c>
      <c r="E53" s="88" t="n">
        <v>4</v>
      </c>
      <c r="F53" s="91" t="s">
        <v>229</v>
      </c>
      <c r="G53" s="92"/>
      <c r="H53" s="93"/>
      <c r="I53" s="17"/>
      <c r="J53" s="94"/>
      <c r="K53" s="17"/>
      <c r="L53" s="95"/>
      <c r="M53" s="18"/>
      <c r="N53" s="96"/>
      <c r="O53" s="96"/>
      <c r="P53" s="97"/>
      <c r="Q53" s="98"/>
      <c r="R53" s="99"/>
      <c r="S53" s="99"/>
      <c r="T53" s="95"/>
      <c r="U53" s="95"/>
      <c r="V53" s="94"/>
      <c r="W53" s="95"/>
      <c r="X53" s="95" t="n">
        <f aca="false">IF(C53="","",SUM(L53,T53,U53,W53))</f>
        <v>0</v>
      </c>
      <c r="Y53" s="100" t="str">
        <f aca="false">IF(OR(C53="",H53=""),"",X53-H53)</f>
        <v/>
      </c>
      <c r="Z53" s="88"/>
      <c r="AA53" s="88"/>
      <c r="AB53" s="17"/>
      <c r="AC53" s="17"/>
    </row>
    <row r="54" customFormat="false" ht="70.5" hidden="false" customHeight="true" outlineLevel="0" collapsed="false">
      <c r="A54" s="88" t="n">
        <f aca="false">IF(C54="","",ROW()-5)</f>
        <v>49</v>
      </c>
      <c r="B54" s="89" t="s">
        <v>223</v>
      </c>
      <c r="C54" s="88" t="s">
        <v>224</v>
      </c>
      <c r="D54" s="103" t="s">
        <v>225</v>
      </c>
      <c r="E54" s="88" t="n">
        <v>5</v>
      </c>
      <c r="F54" s="101" t="s">
        <v>230</v>
      </c>
      <c r="G54" s="92"/>
      <c r="H54" s="93"/>
      <c r="I54" s="17"/>
      <c r="J54" s="94"/>
      <c r="K54" s="17"/>
      <c r="L54" s="95"/>
      <c r="M54" s="18"/>
      <c r="N54" s="96"/>
      <c r="O54" s="96"/>
      <c r="P54" s="97"/>
      <c r="Q54" s="98"/>
      <c r="R54" s="99"/>
      <c r="S54" s="99"/>
      <c r="T54" s="95"/>
      <c r="U54" s="95"/>
      <c r="V54" s="94"/>
      <c r="W54" s="95"/>
      <c r="X54" s="95" t="n">
        <f aca="false">IF(C54="","",SUM(L54,T54,U54,W54))</f>
        <v>0</v>
      </c>
      <c r="Y54" s="100" t="str">
        <f aca="false">IF(OR(C54="",H54=""),"",X54-H54)</f>
        <v/>
      </c>
      <c r="Z54" s="88"/>
      <c r="AA54" s="88"/>
      <c r="AB54" s="17"/>
      <c r="AC54" s="17"/>
    </row>
    <row r="55" customFormat="false" ht="57.75" hidden="false" customHeight="true" outlineLevel="0" collapsed="false">
      <c r="A55" s="88" t="n">
        <f aca="false">IF(C55="","",ROW()-5)</f>
        <v>50</v>
      </c>
      <c r="B55" s="89" t="s">
        <v>223</v>
      </c>
      <c r="C55" s="88" t="s">
        <v>231</v>
      </c>
      <c r="D55" s="103" t="s">
        <v>232</v>
      </c>
      <c r="E55" s="88" t="n">
        <v>1</v>
      </c>
      <c r="F55" s="91" t="s">
        <v>233</v>
      </c>
      <c r="G55" s="92"/>
      <c r="H55" s="93"/>
      <c r="I55" s="17"/>
      <c r="J55" s="94"/>
      <c r="K55" s="17"/>
      <c r="L55" s="95"/>
      <c r="M55" s="18"/>
      <c r="N55" s="96"/>
      <c r="O55" s="96"/>
      <c r="P55" s="97"/>
      <c r="Q55" s="98"/>
      <c r="R55" s="99"/>
      <c r="S55" s="99"/>
      <c r="T55" s="95"/>
      <c r="U55" s="95"/>
      <c r="V55" s="94"/>
      <c r="W55" s="95"/>
      <c r="X55" s="95" t="n">
        <f aca="false">IF(C55="","",SUM(L55,T55,U55,W55))</f>
        <v>0</v>
      </c>
      <c r="Y55" s="100" t="str">
        <f aca="false">IF(OR(C55="",H55=""),"",X55-H55)</f>
        <v/>
      </c>
      <c r="Z55" s="88"/>
      <c r="AA55" s="88"/>
      <c r="AB55" s="17"/>
      <c r="AC55" s="17"/>
    </row>
    <row r="56" customFormat="false" ht="45" hidden="false" customHeight="true" outlineLevel="0" collapsed="false">
      <c r="A56" s="88" t="n">
        <f aca="false">IF(C56="","",ROW()-5)</f>
        <v>51</v>
      </c>
      <c r="B56" s="89" t="s">
        <v>223</v>
      </c>
      <c r="C56" s="88" t="s">
        <v>231</v>
      </c>
      <c r="D56" s="103" t="s">
        <v>232</v>
      </c>
      <c r="E56" s="88" t="n">
        <v>2</v>
      </c>
      <c r="F56" s="91" t="s">
        <v>234</v>
      </c>
      <c r="G56" s="92"/>
      <c r="H56" s="93"/>
      <c r="I56" s="17"/>
      <c r="J56" s="94"/>
      <c r="K56" s="17"/>
      <c r="L56" s="95"/>
      <c r="M56" s="18"/>
      <c r="N56" s="96"/>
      <c r="O56" s="96"/>
      <c r="P56" s="97"/>
      <c r="Q56" s="98"/>
      <c r="R56" s="99"/>
      <c r="S56" s="99"/>
      <c r="T56" s="95"/>
      <c r="U56" s="95"/>
      <c r="V56" s="94"/>
      <c r="W56" s="95"/>
      <c r="X56" s="95" t="n">
        <f aca="false">IF(C56="","",SUM(L56,T56,U56,W56))</f>
        <v>0</v>
      </c>
      <c r="Y56" s="100" t="str">
        <f aca="false">IF(OR(C56="",H56=""),"",X56-H56)</f>
        <v/>
      </c>
      <c r="Z56" s="88"/>
      <c r="AA56" s="88"/>
      <c r="AB56" s="17"/>
      <c r="AC56" s="17"/>
    </row>
    <row r="57" customFormat="false" ht="57.75" hidden="false" customHeight="true" outlineLevel="0" collapsed="false">
      <c r="A57" s="88" t="n">
        <f aca="false">IF(C57="","",ROW()-5)</f>
        <v>52</v>
      </c>
      <c r="B57" s="89" t="s">
        <v>223</v>
      </c>
      <c r="C57" s="88" t="s">
        <v>231</v>
      </c>
      <c r="D57" s="103" t="s">
        <v>232</v>
      </c>
      <c r="E57" s="88" t="n">
        <v>3</v>
      </c>
      <c r="F57" s="91" t="s">
        <v>235</v>
      </c>
      <c r="G57" s="92"/>
      <c r="H57" s="93"/>
      <c r="I57" s="17"/>
      <c r="J57" s="94"/>
      <c r="K57" s="17"/>
      <c r="L57" s="95"/>
      <c r="M57" s="18"/>
      <c r="N57" s="96"/>
      <c r="O57" s="96"/>
      <c r="P57" s="97"/>
      <c r="Q57" s="98"/>
      <c r="R57" s="99"/>
      <c r="S57" s="99"/>
      <c r="T57" s="95"/>
      <c r="U57" s="95"/>
      <c r="V57" s="94"/>
      <c r="W57" s="95"/>
      <c r="X57" s="95" t="n">
        <f aca="false">IF(C57="","",SUM(L57,T57,U57,W57))</f>
        <v>0</v>
      </c>
      <c r="Y57" s="100" t="str">
        <f aca="false">IF(OR(C57="",H57=""),"",X57-H57)</f>
        <v/>
      </c>
      <c r="Z57" s="88"/>
      <c r="AA57" s="88"/>
      <c r="AB57" s="17"/>
      <c r="AC57" s="17"/>
    </row>
    <row r="58" customFormat="false" ht="57.75" hidden="false" customHeight="true" outlineLevel="0" collapsed="false">
      <c r="A58" s="88" t="n">
        <f aca="false">IF(C58="","",ROW()-5)</f>
        <v>53</v>
      </c>
      <c r="B58" s="89" t="s">
        <v>223</v>
      </c>
      <c r="C58" s="88" t="s">
        <v>231</v>
      </c>
      <c r="D58" s="103" t="s">
        <v>232</v>
      </c>
      <c r="E58" s="88" t="n">
        <v>4</v>
      </c>
      <c r="F58" s="91" t="s">
        <v>236</v>
      </c>
      <c r="G58" s="92"/>
      <c r="H58" s="93"/>
      <c r="I58" s="17"/>
      <c r="J58" s="94"/>
      <c r="K58" s="17"/>
      <c r="L58" s="95"/>
      <c r="M58" s="18"/>
      <c r="N58" s="96"/>
      <c r="O58" s="96"/>
      <c r="P58" s="97"/>
      <c r="Q58" s="98"/>
      <c r="R58" s="99"/>
      <c r="S58" s="99"/>
      <c r="T58" s="95"/>
      <c r="U58" s="95"/>
      <c r="V58" s="94"/>
      <c r="W58" s="95"/>
      <c r="X58" s="95" t="n">
        <f aca="false">IF(C58="","",SUM(L58,T58,U58,W58))</f>
        <v>0</v>
      </c>
      <c r="Y58" s="100" t="str">
        <f aca="false">IF(OR(C58="",H58=""),"",X58-H58)</f>
        <v/>
      </c>
      <c r="Z58" s="88"/>
      <c r="AA58" s="88"/>
      <c r="AB58" s="17"/>
      <c r="AC58" s="17"/>
    </row>
    <row r="59" customFormat="false" ht="70.5" hidden="false" customHeight="true" outlineLevel="0" collapsed="false">
      <c r="A59" s="88" t="n">
        <f aca="false">IF(C59="","",ROW()-5)</f>
        <v>54</v>
      </c>
      <c r="B59" s="89" t="s">
        <v>237</v>
      </c>
      <c r="C59" s="88" t="s">
        <v>238</v>
      </c>
      <c r="D59" s="90" t="s">
        <v>239</v>
      </c>
      <c r="E59" s="88" t="n">
        <v>1</v>
      </c>
      <c r="F59" s="91" t="s">
        <v>240</v>
      </c>
      <c r="G59" s="92"/>
      <c r="H59" s="93"/>
      <c r="I59" s="17"/>
      <c r="J59" s="94"/>
      <c r="K59" s="17"/>
      <c r="L59" s="95"/>
      <c r="M59" s="18"/>
      <c r="N59" s="96"/>
      <c r="O59" s="96"/>
      <c r="P59" s="97"/>
      <c r="Q59" s="98"/>
      <c r="R59" s="99"/>
      <c r="S59" s="99"/>
      <c r="T59" s="95"/>
      <c r="U59" s="95"/>
      <c r="V59" s="94"/>
      <c r="W59" s="95"/>
      <c r="X59" s="95" t="n">
        <f aca="false">IF(C59="","",SUM(L59,T59,U59,W59))</f>
        <v>0</v>
      </c>
      <c r="Y59" s="100" t="str">
        <f aca="false">IF(OR(C59="",H59=""),"",X59-H59)</f>
        <v/>
      </c>
      <c r="Z59" s="88"/>
      <c r="AA59" s="88"/>
      <c r="AB59" s="17"/>
      <c r="AC59" s="17"/>
    </row>
    <row r="60" customFormat="false" ht="45" hidden="false" customHeight="true" outlineLevel="0" collapsed="false">
      <c r="A60" s="88" t="n">
        <f aca="false">IF(C60="","",ROW()-5)</f>
        <v>55</v>
      </c>
      <c r="B60" s="89" t="s">
        <v>237</v>
      </c>
      <c r="C60" s="88" t="s">
        <v>238</v>
      </c>
      <c r="D60" s="90" t="s">
        <v>239</v>
      </c>
      <c r="E60" s="88" t="n">
        <v>2</v>
      </c>
      <c r="F60" s="91" t="s">
        <v>241</v>
      </c>
      <c r="G60" s="92"/>
      <c r="H60" s="93"/>
      <c r="I60" s="17"/>
      <c r="J60" s="94"/>
      <c r="K60" s="17"/>
      <c r="L60" s="95"/>
      <c r="M60" s="18"/>
      <c r="N60" s="96"/>
      <c r="O60" s="96"/>
      <c r="P60" s="97"/>
      <c r="Q60" s="98"/>
      <c r="R60" s="99"/>
      <c r="S60" s="99"/>
      <c r="T60" s="95"/>
      <c r="U60" s="95"/>
      <c r="V60" s="94"/>
      <c r="W60" s="95"/>
      <c r="X60" s="95" t="n">
        <f aca="false">IF(C60="","",SUM(L60,T60,U60,W60))</f>
        <v>0</v>
      </c>
      <c r="Y60" s="100" t="str">
        <f aca="false">IF(OR(C60="",H60=""),"",X60-H60)</f>
        <v/>
      </c>
      <c r="Z60" s="88"/>
      <c r="AA60" s="88"/>
      <c r="AB60" s="17"/>
      <c r="AC60" s="17"/>
    </row>
    <row r="61" customFormat="false" ht="45" hidden="false" customHeight="true" outlineLevel="0" collapsed="false">
      <c r="A61" s="88" t="n">
        <f aca="false">IF(C61="","",ROW()-5)</f>
        <v>56</v>
      </c>
      <c r="B61" s="89" t="s">
        <v>237</v>
      </c>
      <c r="C61" s="88" t="s">
        <v>238</v>
      </c>
      <c r="D61" s="90" t="s">
        <v>239</v>
      </c>
      <c r="E61" s="88" t="n">
        <v>3</v>
      </c>
      <c r="F61" s="101" t="s">
        <v>242</v>
      </c>
      <c r="G61" s="92"/>
      <c r="H61" s="93"/>
      <c r="I61" s="17"/>
      <c r="J61" s="94"/>
      <c r="K61" s="17"/>
      <c r="L61" s="95"/>
      <c r="M61" s="18"/>
      <c r="N61" s="96"/>
      <c r="O61" s="96"/>
      <c r="P61" s="97"/>
      <c r="Q61" s="98"/>
      <c r="R61" s="99"/>
      <c r="S61" s="99"/>
      <c r="T61" s="95"/>
      <c r="U61" s="95"/>
      <c r="V61" s="94"/>
      <c r="W61" s="95"/>
      <c r="X61" s="95" t="n">
        <f aca="false">IF(C61="","",SUM(L61,T61,U61,W61))</f>
        <v>0</v>
      </c>
      <c r="Y61" s="100" t="str">
        <f aca="false">IF(OR(C61="",H61=""),"",X61-H61)</f>
        <v/>
      </c>
      <c r="Z61" s="88"/>
      <c r="AA61" s="88"/>
      <c r="AB61" s="17"/>
      <c r="AC61" s="17"/>
    </row>
    <row r="62" customFormat="false" ht="70.5" hidden="false" customHeight="true" outlineLevel="0" collapsed="false">
      <c r="A62" s="88" t="n">
        <f aca="false">IF(C62="","",ROW()-5)</f>
        <v>57</v>
      </c>
      <c r="B62" s="89" t="s">
        <v>237</v>
      </c>
      <c r="C62" s="88" t="s">
        <v>238</v>
      </c>
      <c r="D62" s="90" t="s">
        <v>239</v>
      </c>
      <c r="E62" s="88" t="n">
        <v>4</v>
      </c>
      <c r="F62" s="91" t="s">
        <v>243</v>
      </c>
      <c r="G62" s="92"/>
      <c r="H62" s="93"/>
      <c r="I62" s="17"/>
      <c r="J62" s="94"/>
      <c r="K62" s="17"/>
      <c r="L62" s="95"/>
      <c r="M62" s="18"/>
      <c r="N62" s="96"/>
      <c r="O62" s="96"/>
      <c r="P62" s="97"/>
      <c r="Q62" s="98"/>
      <c r="R62" s="99"/>
      <c r="S62" s="99"/>
      <c r="T62" s="95"/>
      <c r="U62" s="95"/>
      <c r="V62" s="94"/>
      <c r="W62" s="95"/>
      <c r="X62" s="95" t="n">
        <f aca="false">IF(C62="","",SUM(L62,T62,U62,W62))</f>
        <v>0</v>
      </c>
      <c r="Y62" s="100" t="str">
        <f aca="false">IF(OR(C62="",H62=""),"",X62-H62)</f>
        <v/>
      </c>
      <c r="Z62" s="88"/>
      <c r="AA62" s="88"/>
      <c r="AB62" s="17"/>
      <c r="AC62" s="17"/>
    </row>
    <row r="63" customFormat="false" ht="70.5" hidden="false" customHeight="true" outlineLevel="0" collapsed="false">
      <c r="A63" s="88" t="n">
        <f aca="false">IF(C63="","",ROW()-5)</f>
        <v>58</v>
      </c>
      <c r="B63" s="89" t="s">
        <v>237</v>
      </c>
      <c r="C63" s="88" t="s">
        <v>244</v>
      </c>
      <c r="D63" s="90" t="s">
        <v>245</v>
      </c>
      <c r="E63" s="88" t="n">
        <v>1</v>
      </c>
      <c r="F63" s="91" t="s">
        <v>246</v>
      </c>
      <c r="G63" s="92"/>
      <c r="H63" s="93"/>
      <c r="I63" s="17"/>
      <c r="J63" s="94"/>
      <c r="K63" s="17"/>
      <c r="L63" s="95"/>
      <c r="M63" s="18"/>
      <c r="N63" s="96"/>
      <c r="O63" s="96"/>
      <c r="P63" s="97"/>
      <c r="Q63" s="98"/>
      <c r="R63" s="99"/>
      <c r="S63" s="99"/>
      <c r="T63" s="95"/>
      <c r="U63" s="95"/>
      <c r="V63" s="94"/>
      <c r="W63" s="95"/>
      <c r="X63" s="95" t="n">
        <f aca="false">IF(C63="","",SUM(L63,T63,U63,W63))</f>
        <v>0</v>
      </c>
      <c r="Y63" s="100" t="str">
        <f aca="false">IF(OR(C63="",H63=""),"",X63-H63)</f>
        <v/>
      </c>
      <c r="Z63" s="88"/>
      <c r="AA63" s="88"/>
      <c r="AB63" s="17"/>
      <c r="AC63" s="17"/>
    </row>
    <row r="64" customFormat="false" ht="57.75" hidden="false" customHeight="true" outlineLevel="0" collapsed="false">
      <c r="A64" s="88" t="n">
        <f aca="false">IF(C64="","",ROW()-5)</f>
        <v>59</v>
      </c>
      <c r="B64" s="89" t="s">
        <v>237</v>
      </c>
      <c r="C64" s="88" t="s">
        <v>244</v>
      </c>
      <c r="D64" s="90" t="s">
        <v>245</v>
      </c>
      <c r="E64" s="88" t="n">
        <v>2</v>
      </c>
      <c r="F64" s="91" t="s">
        <v>247</v>
      </c>
      <c r="G64" s="92"/>
      <c r="H64" s="93"/>
      <c r="I64" s="17"/>
      <c r="J64" s="94"/>
      <c r="K64" s="17"/>
      <c r="L64" s="95"/>
      <c r="M64" s="18"/>
      <c r="N64" s="96"/>
      <c r="O64" s="96"/>
      <c r="P64" s="97"/>
      <c r="Q64" s="98"/>
      <c r="R64" s="99"/>
      <c r="S64" s="99"/>
      <c r="T64" s="95"/>
      <c r="U64" s="95"/>
      <c r="V64" s="94"/>
      <c r="W64" s="95"/>
      <c r="X64" s="95" t="n">
        <f aca="false">IF(C64="","",SUM(L64,T64,U64,W64))</f>
        <v>0</v>
      </c>
      <c r="Y64" s="100" t="str">
        <f aca="false">IF(OR(C64="",H64=""),"",X64-H64)</f>
        <v/>
      </c>
      <c r="Z64" s="88"/>
      <c r="AA64" s="88"/>
      <c r="AB64" s="17"/>
      <c r="AC64" s="17"/>
    </row>
    <row r="65" customFormat="false" ht="45" hidden="false" customHeight="true" outlineLevel="0" collapsed="false">
      <c r="A65" s="88" t="n">
        <f aca="false">IF(C65="","",ROW()-5)</f>
        <v>60</v>
      </c>
      <c r="B65" s="89" t="s">
        <v>237</v>
      </c>
      <c r="C65" s="88" t="s">
        <v>244</v>
      </c>
      <c r="D65" s="90" t="s">
        <v>245</v>
      </c>
      <c r="E65" s="88" t="n">
        <v>3</v>
      </c>
      <c r="F65" s="101" t="s">
        <v>248</v>
      </c>
      <c r="G65" s="92"/>
      <c r="H65" s="93"/>
      <c r="I65" s="17"/>
      <c r="J65" s="94"/>
      <c r="K65" s="17"/>
      <c r="L65" s="95"/>
      <c r="M65" s="18"/>
      <c r="N65" s="96"/>
      <c r="O65" s="96"/>
      <c r="P65" s="97"/>
      <c r="Q65" s="98"/>
      <c r="R65" s="99"/>
      <c r="S65" s="99"/>
      <c r="T65" s="95"/>
      <c r="U65" s="95"/>
      <c r="V65" s="94"/>
      <c r="W65" s="95"/>
      <c r="X65" s="95" t="n">
        <f aca="false">IF(C65="","",SUM(L65,T65,U65,W65))</f>
        <v>0</v>
      </c>
      <c r="Y65" s="100" t="str">
        <f aca="false">IF(OR(C65="",H65=""),"",X65-H65)</f>
        <v/>
      </c>
      <c r="Z65" s="88"/>
      <c r="AA65" s="88"/>
      <c r="AB65" s="17"/>
      <c r="AC65" s="17"/>
    </row>
    <row r="66" customFormat="false" ht="45" hidden="false" customHeight="true" outlineLevel="0" collapsed="false">
      <c r="A66" s="88" t="n">
        <f aca="false">IF(C66="","",ROW()-5)</f>
        <v>61</v>
      </c>
      <c r="B66" s="89" t="s">
        <v>237</v>
      </c>
      <c r="C66" s="88" t="s">
        <v>244</v>
      </c>
      <c r="D66" s="90" t="s">
        <v>245</v>
      </c>
      <c r="E66" s="88" t="n">
        <v>4</v>
      </c>
      <c r="F66" s="91" t="s">
        <v>249</v>
      </c>
      <c r="G66" s="92"/>
      <c r="H66" s="93"/>
      <c r="I66" s="17"/>
      <c r="J66" s="94"/>
      <c r="K66" s="17"/>
      <c r="L66" s="95"/>
      <c r="M66" s="18"/>
      <c r="N66" s="96"/>
      <c r="O66" s="96"/>
      <c r="P66" s="97"/>
      <c r="Q66" s="98"/>
      <c r="R66" s="99"/>
      <c r="S66" s="99"/>
      <c r="T66" s="95"/>
      <c r="U66" s="95"/>
      <c r="V66" s="94"/>
      <c r="W66" s="95"/>
      <c r="X66" s="95" t="n">
        <f aca="false">IF(C66="","",SUM(L66,T66,U66,W66))</f>
        <v>0</v>
      </c>
      <c r="Y66" s="100" t="str">
        <f aca="false">IF(OR(C66="",H66=""),"",X66-H66)</f>
        <v/>
      </c>
      <c r="Z66" s="88"/>
      <c r="AA66" s="88"/>
      <c r="AB66" s="17"/>
      <c r="AC66" s="17"/>
    </row>
    <row r="67" customFormat="false" ht="45" hidden="false" customHeight="true" outlineLevel="0" collapsed="false">
      <c r="A67" s="88" t="n">
        <f aca="false">IF(C67="","",ROW()-5)</f>
        <v>62</v>
      </c>
      <c r="B67" s="89" t="s">
        <v>237</v>
      </c>
      <c r="C67" s="88" t="s">
        <v>244</v>
      </c>
      <c r="D67" s="90" t="s">
        <v>245</v>
      </c>
      <c r="E67" s="88" t="n">
        <v>5</v>
      </c>
      <c r="F67" s="101" t="s">
        <v>250</v>
      </c>
      <c r="G67" s="92"/>
      <c r="H67" s="93"/>
      <c r="I67" s="17"/>
      <c r="J67" s="94"/>
      <c r="K67" s="17"/>
      <c r="L67" s="95"/>
      <c r="M67" s="18"/>
      <c r="N67" s="96"/>
      <c r="O67" s="96"/>
      <c r="P67" s="97"/>
      <c r="Q67" s="98"/>
      <c r="R67" s="99"/>
      <c r="S67" s="99"/>
      <c r="T67" s="95"/>
      <c r="U67" s="95"/>
      <c r="V67" s="94"/>
      <c r="W67" s="95"/>
      <c r="X67" s="95" t="n">
        <f aca="false">IF(C67="","",SUM(L67,T67,U67,W67))</f>
        <v>0</v>
      </c>
      <c r="Y67" s="100" t="str">
        <f aca="false">IF(OR(C67="",H67=""),"",X67-H67)</f>
        <v/>
      </c>
      <c r="Z67" s="88"/>
      <c r="AA67" s="88"/>
      <c r="AB67" s="17"/>
      <c r="AC67" s="17"/>
    </row>
    <row r="68" customFormat="false" ht="45" hidden="false" customHeight="true" outlineLevel="0" collapsed="false">
      <c r="A68" s="88" t="n">
        <f aca="false">IF(C68="","",ROW()-5)</f>
        <v>63</v>
      </c>
      <c r="B68" s="89" t="s">
        <v>237</v>
      </c>
      <c r="C68" s="88" t="s">
        <v>244</v>
      </c>
      <c r="D68" s="90" t="s">
        <v>245</v>
      </c>
      <c r="E68" s="88" t="n">
        <v>6</v>
      </c>
      <c r="F68" s="91" t="s">
        <v>251</v>
      </c>
      <c r="G68" s="92"/>
      <c r="H68" s="93"/>
      <c r="I68" s="17"/>
      <c r="J68" s="94"/>
      <c r="K68" s="17"/>
      <c r="L68" s="95"/>
      <c r="M68" s="18"/>
      <c r="N68" s="96"/>
      <c r="O68" s="96"/>
      <c r="P68" s="97"/>
      <c r="Q68" s="98"/>
      <c r="R68" s="99"/>
      <c r="S68" s="99"/>
      <c r="T68" s="95"/>
      <c r="U68" s="95"/>
      <c r="V68" s="94"/>
      <c r="W68" s="95"/>
      <c r="X68" s="95" t="n">
        <f aca="false">IF(C68="","",SUM(L68,T68,U68,W68))</f>
        <v>0</v>
      </c>
      <c r="Y68" s="100" t="str">
        <f aca="false">IF(OR(C68="",H68=""),"",X68-H68)</f>
        <v/>
      </c>
      <c r="Z68" s="88"/>
      <c r="AA68" s="88"/>
      <c r="AB68" s="17"/>
      <c r="AC68" s="17"/>
    </row>
    <row r="69" s="105" customFormat="true" ht="45" hidden="false" customHeight="true" outlineLevel="0" collapsed="false">
      <c r="A69" s="88" t="n">
        <f aca="false">IF(C69="","",ROW()-5)</f>
        <v>64</v>
      </c>
      <c r="B69" s="89" t="s">
        <v>237</v>
      </c>
      <c r="C69" s="88" t="s">
        <v>252</v>
      </c>
      <c r="D69" s="103" t="s">
        <v>253</v>
      </c>
      <c r="E69" s="88" t="n">
        <v>1</v>
      </c>
      <c r="F69" s="91" t="s">
        <v>254</v>
      </c>
      <c r="G69" s="92"/>
      <c r="H69" s="93"/>
      <c r="I69" s="17"/>
      <c r="J69" s="94"/>
      <c r="K69" s="17"/>
      <c r="L69" s="95"/>
      <c r="M69" s="18"/>
      <c r="N69" s="96"/>
      <c r="O69" s="96"/>
      <c r="P69" s="97"/>
      <c r="Q69" s="98"/>
      <c r="R69" s="99"/>
      <c r="S69" s="99"/>
      <c r="T69" s="95"/>
      <c r="U69" s="95"/>
      <c r="V69" s="94"/>
      <c r="W69" s="95"/>
      <c r="X69" s="95" t="n">
        <f aca="false">IF(C69="","",SUM(L69,T69,U69,W69))</f>
        <v>0</v>
      </c>
      <c r="Y69" s="100" t="str">
        <f aca="false">IF(OR(C69="",H69=""),"",X69-H69)</f>
        <v/>
      </c>
      <c r="Z69" s="88"/>
      <c r="AA69" s="88"/>
      <c r="AB69" s="17"/>
      <c r="AC69" s="17"/>
    </row>
    <row r="70" s="105" customFormat="true" ht="70.5" hidden="false" customHeight="true" outlineLevel="0" collapsed="false">
      <c r="A70" s="88" t="n">
        <f aca="false">IF(C70="","",ROW()-5)</f>
        <v>65</v>
      </c>
      <c r="B70" s="89" t="s">
        <v>237</v>
      </c>
      <c r="C70" s="88" t="s">
        <v>252</v>
      </c>
      <c r="D70" s="103" t="s">
        <v>253</v>
      </c>
      <c r="E70" s="88" t="n">
        <v>2</v>
      </c>
      <c r="F70" s="101" t="s">
        <v>255</v>
      </c>
      <c r="G70" s="92"/>
      <c r="H70" s="93"/>
      <c r="I70" s="17"/>
      <c r="J70" s="94"/>
      <c r="K70" s="17"/>
      <c r="L70" s="95"/>
      <c r="M70" s="18"/>
      <c r="N70" s="96"/>
      <c r="O70" s="96"/>
      <c r="P70" s="97"/>
      <c r="Q70" s="98"/>
      <c r="R70" s="99"/>
      <c r="S70" s="99"/>
      <c r="T70" s="95"/>
      <c r="U70" s="95"/>
      <c r="V70" s="94"/>
      <c r="W70" s="95"/>
      <c r="X70" s="95" t="n">
        <f aca="false">IF(C70="","",SUM(L70,T70,U70,W70))</f>
        <v>0</v>
      </c>
      <c r="Y70" s="100" t="str">
        <f aca="false">IF(OR(C70="",H70=""),"",X70-H70)</f>
        <v/>
      </c>
      <c r="Z70" s="88"/>
      <c r="AA70" s="88"/>
      <c r="AB70" s="17"/>
      <c r="AC70" s="17"/>
    </row>
    <row r="71" s="105" customFormat="true" ht="45" hidden="false" customHeight="true" outlineLevel="0" collapsed="false">
      <c r="A71" s="88" t="n">
        <f aca="false">IF(C71="","",ROW()-5)</f>
        <v>66</v>
      </c>
      <c r="B71" s="89" t="s">
        <v>237</v>
      </c>
      <c r="C71" s="88" t="s">
        <v>252</v>
      </c>
      <c r="D71" s="103" t="s">
        <v>253</v>
      </c>
      <c r="E71" s="88" t="n">
        <v>3</v>
      </c>
      <c r="F71" s="91" t="s">
        <v>256</v>
      </c>
      <c r="G71" s="92"/>
      <c r="H71" s="93"/>
      <c r="I71" s="17"/>
      <c r="J71" s="94"/>
      <c r="K71" s="17"/>
      <c r="L71" s="95"/>
      <c r="M71" s="18"/>
      <c r="N71" s="96"/>
      <c r="O71" s="96"/>
      <c r="P71" s="97"/>
      <c r="Q71" s="98"/>
      <c r="R71" s="99"/>
      <c r="S71" s="99"/>
      <c r="T71" s="95"/>
      <c r="U71" s="95"/>
      <c r="V71" s="94"/>
      <c r="W71" s="95"/>
      <c r="X71" s="95" t="n">
        <f aca="false">IF(C71="","",SUM(L71,T71,U71,W71))</f>
        <v>0</v>
      </c>
      <c r="Y71" s="100" t="str">
        <f aca="false">IF(OR(C71="",H71=""),"",X71-H71)</f>
        <v/>
      </c>
      <c r="Z71" s="88"/>
      <c r="AA71" s="88"/>
      <c r="AB71" s="17"/>
      <c r="AC71" s="17"/>
    </row>
    <row r="72" s="105" customFormat="true" ht="84" hidden="false" customHeight="true" outlineLevel="0" collapsed="false">
      <c r="A72" s="88" t="n">
        <f aca="false">IF(C72="","",ROW()-5)</f>
        <v>67</v>
      </c>
      <c r="B72" s="89" t="s">
        <v>237</v>
      </c>
      <c r="C72" s="88" t="s">
        <v>252</v>
      </c>
      <c r="D72" s="103" t="s">
        <v>253</v>
      </c>
      <c r="E72" s="88" t="n">
        <v>4</v>
      </c>
      <c r="F72" s="91" t="s">
        <v>257</v>
      </c>
      <c r="G72" s="92"/>
      <c r="H72" s="93"/>
      <c r="I72" s="17"/>
      <c r="J72" s="94"/>
      <c r="K72" s="17"/>
      <c r="L72" s="95"/>
      <c r="M72" s="18"/>
      <c r="N72" s="96"/>
      <c r="O72" s="96"/>
      <c r="P72" s="97"/>
      <c r="Q72" s="98"/>
      <c r="R72" s="99"/>
      <c r="S72" s="99"/>
      <c r="T72" s="95"/>
      <c r="U72" s="95"/>
      <c r="V72" s="94"/>
      <c r="W72" s="95"/>
      <c r="X72" s="95" t="n">
        <f aca="false">IF(C72="","",SUM(L72,T72,U72,W72))</f>
        <v>0</v>
      </c>
      <c r="Y72" s="100" t="str">
        <f aca="false">IF(OR(C72="",H72=""),"",X72-H72)</f>
        <v/>
      </c>
      <c r="Z72" s="88"/>
      <c r="AA72" s="88"/>
      <c r="AB72" s="17"/>
      <c r="AC72" s="17"/>
    </row>
    <row r="73" customFormat="false" ht="45" hidden="false" customHeight="true" outlineLevel="0" collapsed="false">
      <c r="A73" s="88" t="n">
        <f aca="false">IF(C73="","",ROW()-5)</f>
        <v>68</v>
      </c>
      <c r="B73" s="89" t="s">
        <v>258</v>
      </c>
      <c r="C73" s="88" t="s">
        <v>259</v>
      </c>
      <c r="D73" s="103" t="s">
        <v>260</v>
      </c>
      <c r="E73" s="88" t="n">
        <v>1</v>
      </c>
      <c r="F73" s="91" t="s">
        <v>261</v>
      </c>
      <c r="G73" s="92"/>
      <c r="H73" s="93"/>
      <c r="I73" s="17"/>
      <c r="J73" s="94"/>
      <c r="K73" s="17"/>
      <c r="L73" s="95"/>
      <c r="M73" s="18"/>
      <c r="N73" s="96"/>
      <c r="O73" s="96"/>
      <c r="P73" s="97"/>
      <c r="Q73" s="98"/>
      <c r="R73" s="99"/>
      <c r="S73" s="99"/>
      <c r="T73" s="95"/>
      <c r="U73" s="95"/>
      <c r="V73" s="94"/>
      <c r="W73" s="95"/>
      <c r="X73" s="95" t="n">
        <f aca="false">IF(C73="","",SUM(L73,T73,U73,W73))</f>
        <v>0</v>
      </c>
      <c r="Y73" s="100" t="str">
        <f aca="false">IF(OR(C73="",H73=""),"",X73-H73)</f>
        <v/>
      </c>
      <c r="Z73" s="88"/>
      <c r="AA73" s="88"/>
      <c r="AB73" s="17"/>
      <c r="AC73" s="17"/>
    </row>
    <row r="74" customFormat="false" ht="57.75" hidden="false" customHeight="true" outlineLevel="0" collapsed="false">
      <c r="A74" s="88" t="n">
        <f aca="false">IF(C74="","",ROW()-5)</f>
        <v>69</v>
      </c>
      <c r="B74" s="89" t="s">
        <v>258</v>
      </c>
      <c r="C74" s="88" t="s">
        <v>259</v>
      </c>
      <c r="D74" s="103" t="s">
        <v>260</v>
      </c>
      <c r="E74" s="88" t="n">
        <v>2</v>
      </c>
      <c r="F74" s="91" t="s">
        <v>262</v>
      </c>
      <c r="G74" s="92"/>
      <c r="H74" s="93"/>
      <c r="I74" s="17"/>
      <c r="J74" s="94"/>
      <c r="K74" s="17"/>
      <c r="L74" s="95"/>
      <c r="M74" s="18"/>
      <c r="N74" s="96"/>
      <c r="O74" s="96"/>
      <c r="P74" s="97"/>
      <c r="Q74" s="98"/>
      <c r="R74" s="99"/>
      <c r="S74" s="99"/>
      <c r="T74" s="95"/>
      <c r="U74" s="95"/>
      <c r="V74" s="94"/>
      <c r="W74" s="95"/>
      <c r="X74" s="95" t="n">
        <f aca="false">IF(C74="","",SUM(L74,T74,U74,W74))</f>
        <v>0</v>
      </c>
      <c r="Y74" s="100" t="str">
        <f aca="false">IF(OR(C74="",H74=""),"",X74-H74)</f>
        <v/>
      </c>
      <c r="Z74" s="88"/>
      <c r="AA74" s="88"/>
      <c r="AB74" s="17"/>
      <c r="AC74" s="17"/>
    </row>
    <row r="75" customFormat="false" ht="57.75" hidden="false" customHeight="true" outlineLevel="0" collapsed="false">
      <c r="A75" s="88" t="n">
        <f aca="false">IF(C75="","",ROW()-5)</f>
        <v>70</v>
      </c>
      <c r="B75" s="89" t="s">
        <v>258</v>
      </c>
      <c r="C75" s="88" t="s">
        <v>259</v>
      </c>
      <c r="D75" s="103" t="s">
        <v>260</v>
      </c>
      <c r="E75" s="88" t="n">
        <v>3</v>
      </c>
      <c r="F75" s="91" t="s">
        <v>263</v>
      </c>
      <c r="G75" s="92"/>
      <c r="H75" s="93"/>
      <c r="I75" s="17"/>
      <c r="J75" s="94"/>
      <c r="K75" s="17"/>
      <c r="L75" s="95"/>
      <c r="M75" s="18"/>
      <c r="N75" s="96"/>
      <c r="O75" s="96"/>
      <c r="P75" s="97"/>
      <c r="Q75" s="98"/>
      <c r="R75" s="99"/>
      <c r="S75" s="99"/>
      <c r="T75" s="95"/>
      <c r="U75" s="95"/>
      <c r="V75" s="94"/>
      <c r="W75" s="95"/>
      <c r="X75" s="95" t="n">
        <f aca="false">IF(C75="","",SUM(L75,T75,U75,W75))</f>
        <v>0</v>
      </c>
      <c r="Y75" s="100" t="str">
        <f aca="false">IF(OR(C75="",H75=""),"",X75-H75)</f>
        <v/>
      </c>
      <c r="Z75" s="88"/>
      <c r="AA75" s="88"/>
      <c r="AB75" s="17"/>
      <c r="AC75" s="17"/>
    </row>
    <row r="76" customFormat="false" ht="57.75" hidden="false" customHeight="true" outlineLevel="0" collapsed="false">
      <c r="A76" s="88" t="n">
        <f aca="false">IF(C76="","",ROW()-5)</f>
        <v>71</v>
      </c>
      <c r="B76" s="89" t="s">
        <v>258</v>
      </c>
      <c r="C76" s="88" t="s">
        <v>259</v>
      </c>
      <c r="D76" s="103" t="s">
        <v>260</v>
      </c>
      <c r="E76" s="88" t="n">
        <v>4</v>
      </c>
      <c r="F76" s="91" t="s">
        <v>264</v>
      </c>
      <c r="G76" s="92"/>
      <c r="H76" s="93"/>
      <c r="I76" s="17"/>
      <c r="J76" s="94"/>
      <c r="K76" s="17"/>
      <c r="L76" s="95"/>
      <c r="M76" s="18"/>
      <c r="N76" s="96"/>
      <c r="O76" s="96"/>
      <c r="P76" s="97"/>
      <c r="Q76" s="98"/>
      <c r="R76" s="99"/>
      <c r="S76" s="99"/>
      <c r="T76" s="95"/>
      <c r="U76" s="95"/>
      <c r="V76" s="94"/>
      <c r="W76" s="95"/>
      <c r="X76" s="95" t="n">
        <f aca="false">IF(C76="","",SUM(L76,T76,U76,W76))</f>
        <v>0</v>
      </c>
      <c r="Y76" s="100" t="str">
        <f aca="false">IF(OR(C76="",H76=""),"",X76-H76)</f>
        <v/>
      </c>
      <c r="Z76" s="88"/>
      <c r="AA76" s="88"/>
      <c r="AB76" s="17"/>
      <c r="AC76" s="17"/>
    </row>
    <row r="77" customFormat="false" ht="57.75" hidden="false" customHeight="true" outlineLevel="0" collapsed="false">
      <c r="A77" s="88" t="n">
        <f aca="false">IF(C77="","",ROW()-5)</f>
        <v>72</v>
      </c>
      <c r="B77" s="89" t="s">
        <v>258</v>
      </c>
      <c r="C77" s="88" t="s">
        <v>259</v>
      </c>
      <c r="D77" s="103" t="s">
        <v>260</v>
      </c>
      <c r="E77" s="88" t="n">
        <v>5</v>
      </c>
      <c r="F77" s="91" t="s">
        <v>265</v>
      </c>
      <c r="G77" s="92"/>
      <c r="H77" s="93"/>
      <c r="I77" s="17"/>
      <c r="J77" s="94"/>
      <c r="K77" s="17"/>
      <c r="L77" s="95"/>
      <c r="M77" s="18"/>
      <c r="N77" s="96"/>
      <c r="O77" s="96"/>
      <c r="P77" s="97"/>
      <c r="Q77" s="98"/>
      <c r="R77" s="99"/>
      <c r="S77" s="99"/>
      <c r="T77" s="95"/>
      <c r="U77" s="95"/>
      <c r="V77" s="94"/>
      <c r="W77" s="95"/>
      <c r="X77" s="95" t="n">
        <f aca="false">IF(C77="","",SUM(L77,T77,U77,W77))</f>
        <v>0</v>
      </c>
      <c r="Y77" s="100" t="str">
        <f aca="false">IF(OR(C77="",H77=""),"",X77-H77)</f>
        <v/>
      </c>
      <c r="Z77" s="88"/>
      <c r="AA77" s="88"/>
      <c r="AB77" s="17"/>
      <c r="AC77" s="17"/>
    </row>
    <row r="78" customFormat="false" ht="57.75" hidden="false" customHeight="true" outlineLevel="0" collapsed="false">
      <c r="A78" s="88" t="n">
        <f aca="false">IF(C78="","",ROW()-5)</f>
        <v>73</v>
      </c>
      <c r="B78" s="89" t="s">
        <v>258</v>
      </c>
      <c r="C78" s="88" t="s">
        <v>259</v>
      </c>
      <c r="D78" s="103" t="s">
        <v>260</v>
      </c>
      <c r="E78" s="88" t="n">
        <v>6</v>
      </c>
      <c r="F78" s="91" t="s">
        <v>266</v>
      </c>
      <c r="G78" s="92"/>
      <c r="H78" s="93"/>
      <c r="I78" s="17"/>
      <c r="J78" s="94"/>
      <c r="K78" s="17"/>
      <c r="L78" s="95"/>
      <c r="M78" s="18"/>
      <c r="N78" s="96"/>
      <c r="O78" s="96"/>
      <c r="P78" s="97"/>
      <c r="Q78" s="98"/>
      <c r="R78" s="99"/>
      <c r="S78" s="99"/>
      <c r="T78" s="95"/>
      <c r="U78" s="95"/>
      <c r="V78" s="94"/>
      <c r="W78" s="95"/>
      <c r="X78" s="95" t="n">
        <f aca="false">IF(C78="","",SUM(L78,T78,U78,W78))</f>
        <v>0</v>
      </c>
      <c r="Y78" s="100" t="str">
        <f aca="false">IF(OR(C78="",H78=""),"",X78-H78)</f>
        <v/>
      </c>
      <c r="Z78" s="88"/>
      <c r="AA78" s="88"/>
      <c r="AB78" s="17"/>
      <c r="AC78" s="17"/>
    </row>
    <row r="79" customFormat="false" ht="45" hidden="false" customHeight="true" outlineLevel="0" collapsed="false">
      <c r="A79" s="88" t="n">
        <f aca="false">IF(C79="","",ROW()-5)</f>
        <v>74</v>
      </c>
      <c r="B79" s="89" t="s">
        <v>258</v>
      </c>
      <c r="C79" s="88" t="s">
        <v>267</v>
      </c>
      <c r="D79" s="103" t="s">
        <v>268</v>
      </c>
      <c r="E79" s="88" t="n">
        <v>1</v>
      </c>
      <c r="F79" s="91" t="s">
        <v>269</v>
      </c>
      <c r="G79" s="92"/>
      <c r="H79" s="93"/>
      <c r="I79" s="17"/>
      <c r="J79" s="94"/>
      <c r="K79" s="17"/>
      <c r="L79" s="95"/>
      <c r="M79" s="18"/>
      <c r="N79" s="96"/>
      <c r="O79" s="96"/>
      <c r="P79" s="97"/>
      <c r="Q79" s="98"/>
      <c r="R79" s="99"/>
      <c r="S79" s="99"/>
      <c r="T79" s="95"/>
      <c r="U79" s="95"/>
      <c r="V79" s="94"/>
      <c r="W79" s="95"/>
      <c r="X79" s="95" t="n">
        <f aca="false">IF(C79="","",SUM(L79,T79,U79,W79))</f>
        <v>0</v>
      </c>
      <c r="Y79" s="100" t="str">
        <f aca="false">IF(OR(C79="",H79=""),"",X79-H79)</f>
        <v/>
      </c>
      <c r="Z79" s="88"/>
      <c r="AA79" s="88"/>
      <c r="AB79" s="17"/>
      <c r="AC79" s="17"/>
    </row>
    <row r="80" customFormat="false" ht="45" hidden="false" customHeight="true" outlineLevel="0" collapsed="false">
      <c r="A80" s="88" t="n">
        <f aca="false">IF(C80="","",ROW()-5)</f>
        <v>75</v>
      </c>
      <c r="B80" s="89" t="s">
        <v>258</v>
      </c>
      <c r="C80" s="88" t="s">
        <v>267</v>
      </c>
      <c r="D80" s="103" t="s">
        <v>268</v>
      </c>
      <c r="E80" s="88" t="n">
        <v>2</v>
      </c>
      <c r="F80" s="91" t="s">
        <v>270</v>
      </c>
      <c r="G80" s="92"/>
      <c r="H80" s="93"/>
      <c r="I80" s="17"/>
      <c r="J80" s="94"/>
      <c r="K80" s="17"/>
      <c r="L80" s="95"/>
      <c r="M80" s="18"/>
      <c r="N80" s="96"/>
      <c r="O80" s="96"/>
      <c r="P80" s="97"/>
      <c r="Q80" s="98"/>
      <c r="R80" s="99"/>
      <c r="S80" s="99"/>
      <c r="T80" s="95"/>
      <c r="U80" s="95"/>
      <c r="V80" s="94"/>
      <c r="W80" s="95"/>
      <c r="X80" s="95" t="n">
        <f aca="false">IF(C80="","",SUM(L80,T80,U80,W80))</f>
        <v>0</v>
      </c>
      <c r="Y80" s="100" t="str">
        <f aca="false">IF(OR(C80="",H80=""),"",X80-H80)</f>
        <v/>
      </c>
      <c r="Z80" s="88"/>
      <c r="AA80" s="88"/>
      <c r="AB80" s="17"/>
      <c r="AC80" s="17"/>
    </row>
    <row r="81" customFormat="false" ht="45" hidden="false" customHeight="true" outlineLevel="0" collapsed="false">
      <c r="A81" s="88" t="n">
        <f aca="false">IF(C81="","",ROW()-5)</f>
        <v>76</v>
      </c>
      <c r="B81" s="89" t="s">
        <v>258</v>
      </c>
      <c r="C81" s="88" t="s">
        <v>267</v>
      </c>
      <c r="D81" s="103" t="s">
        <v>268</v>
      </c>
      <c r="E81" s="88" t="n">
        <v>3</v>
      </c>
      <c r="F81" s="91" t="s">
        <v>271</v>
      </c>
      <c r="G81" s="92"/>
      <c r="H81" s="93"/>
      <c r="I81" s="17"/>
      <c r="J81" s="94"/>
      <c r="K81" s="17"/>
      <c r="L81" s="95"/>
      <c r="M81" s="18"/>
      <c r="N81" s="96"/>
      <c r="O81" s="96"/>
      <c r="P81" s="97"/>
      <c r="Q81" s="98"/>
      <c r="R81" s="99"/>
      <c r="S81" s="99"/>
      <c r="T81" s="95"/>
      <c r="U81" s="95"/>
      <c r="V81" s="94"/>
      <c r="W81" s="95"/>
      <c r="X81" s="95" t="n">
        <f aca="false">IF(C81="","",SUM(L81,T81,U81,W81))</f>
        <v>0</v>
      </c>
      <c r="Y81" s="100" t="str">
        <f aca="false">IF(OR(C81="",H81=""),"",X81-H81)</f>
        <v/>
      </c>
      <c r="Z81" s="88"/>
      <c r="AA81" s="88"/>
      <c r="AB81" s="17"/>
      <c r="AC81" s="17"/>
    </row>
    <row r="82" customFormat="false" ht="45" hidden="false" customHeight="true" outlineLevel="0" collapsed="false">
      <c r="A82" s="88" t="n">
        <f aca="false">IF(C82="","",ROW()-5)</f>
        <v>77</v>
      </c>
      <c r="B82" s="89" t="s">
        <v>258</v>
      </c>
      <c r="C82" s="88" t="s">
        <v>267</v>
      </c>
      <c r="D82" s="103" t="s">
        <v>268</v>
      </c>
      <c r="E82" s="88" t="n">
        <v>4</v>
      </c>
      <c r="F82" s="91" t="s">
        <v>272</v>
      </c>
      <c r="G82" s="92"/>
      <c r="H82" s="93"/>
      <c r="I82" s="17"/>
      <c r="J82" s="94"/>
      <c r="K82" s="17"/>
      <c r="L82" s="95"/>
      <c r="M82" s="18"/>
      <c r="N82" s="96"/>
      <c r="O82" s="96"/>
      <c r="P82" s="97"/>
      <c r="Q82" s="98"/>
      <c r="R82" s="99"/>
      <c r="S82" s="99"/>
      <c r="T82" s="95"/>
      <c r="U82" s="95"/>
      <c r="V82" s="94"/>
      <c r="W82" s="95"/>
      <c r="X82" s="95" t="n">
        <f aca="false">IF(C82="","",SUM(L82,T82,U82,W82))</f>
        <v>0</v>
      </c>
      <c r="Y82" s="100" t="str">
        <f aca="false">IF(OR(C82="",H82=""),"",X82-H82)</f>
        <v/>
      </c>
      <c r="Z82" s="88"/>
      <c r="AA82" s="88"/>
      <c r="AB82" s="17"/>
      <c r="AC82" s="17"/>
    </row>
    <row r="83" customFormat="false" ht="45" hidden="false" customHeight="true" outlineLevel="0" collapsed="false">
      <c r="A83" s="88" t="n">
        <f aca="false">IF(C83="","",ROW()-5)</f>
        <v>78</v>
      </c>
      <c r="B83" s="89" t="s">
        <v>258</v>
      </c>
      <c r="C83" s="88" t="s">
        <v>273</v>
      </c>
      <c r="D83" s="103" t="s">
        <v>274</v>
      </c>
      <c r="E83" s="88" t="n">
        <v>1</v>
      </c>
      <c r="F83" s="91" t="s">
        <v>275</v>
      </c>
      <c r="G83" s="92"/>
      <c r="H83" s="93"/>
      <c r="I83" s="17"/>
      <c r="J83" s="94"/>
      <c r="K83" s="17"/>
      <c r="L83" s="95"/>
      <c r="M83" s="18"/>
      <c r="N83" s="96"/>
      <c r="O83" s="96"/>
      <c r="P83" s="97"/>
      <c r="Q83" s="98"/>
      <c r="R83" s="99"/>
      <c r="S83" s="99"/>
      <c r="T83" s="95"/>
      <c r="U83" s="95"/>
      <c r="V83" s="94"/>
      <c r="W83" s="95"/>
      <c r="X83" s="95" t="n">
        <f aca="false">IF(C83="","",SUM(L83,T83,U83,W83))</f>
        <v>0</v>
      </c>
      <c r="Y83" s="100" t="str">
        <f aca="false">IF(OR(C83="",H83=""),"",X83-H83)</f>
        <v/>
      </c>
      <c r="Z83" s="88"/>
      <c r="AA83" s="88"/>
      <c r="AB83" s="17"/>
      <c r="AC83" s="17"/>
    </row>
    <row r="84" customFormat="false" ht="45" hidden="false" customHeight="true" outlineLevel="0" collapsed="false">
      <c r="A84" s="88" t="n">
        <f aca="false">IF(C84="","",ROW()-5)</f>
        <v>79</v>
      </c>
      <c r="B84" s="89" t="s">
        <v>258</v>
      </c>
      <c r="C84" s="88" t="s">
        <v>273</v>
      </c>
      <c r="D84" s="103" t="s">
        <v>274</v>
      </c>
      <c r="E84" s="88" t="n">
        <v>2</v>
      </c>
      <c r="F84" s="91" t="s">
        <v>276</v>
      </c>
      <c r="G84" s="92"/>
      <c r="H84" s="93"/>
      <c r="I84" s="17"/>
      <c r="J84" s="94"/>
      <c r="K84" s="17"/>
      <c r="L84" s="95"/>
      <c r="M84" s="18"/>
      <c r="N84" s="96"/>
      <c r="O84" s="96"/>
      <c r="P84" s="97"/>
      <c r="Q84" s="98"/>
      <c r="R84" s="99"/>
      <c r="S84" s="99"/>
      <c r="T84" s="95"/>
      <c r="U84" s="95"/>
      <c r="V84" s="94"/>
      <c r="W84" s="95"/>
      <c r="X84" s="95" t="n">
        <f aca="false">IF(C84="","",SUM(L84,T84,U84,W84))</f>
        <v>0</v>
      </c>
      <c r="Y84" s="100" t="str">
        <f aca="false">IF(OR(C84="",H84=""),"",X84-H84)</f>
        <v/>
      </c>
      <c r="Z84" s="88"/>
      <c r="AA84" s="88"/>
      <c r="AB84" s="17"/>
      <c r="AC84" s="17"/>
    </row>
    <row r="85" customFormat="false" ht="45" hidden="false" customHeight="true" outlineLevel="0" collapsed="false">
      <c r="A85" s="88" t="n">
        <f aca="false">IF(C85="","",ROW()-5)</f>
        <v>80</v>
      </c>
      <c r="B85" s="89" t="s">
        <v>258</v>
      </c>
      <c r="C85" s="88" t="s">
        <v>273</v>
      </c>
      <c r="D85" s="103" t="s">
        <v>274</v>
      </c>
      <c r="E85" s="88" t="n">
        <v>3</v>
      </c>
      <c r="F85" s="91" t="s">
        <v>277</v>
      </c>
      <c r="G85" s="92"/>
      <c r="H85" s="93"/>
      <c r="I85" s="17"/>
      <c r="J85" s="94"/>
      <c r="K85" s="17"/>
      <c r="L85" s="95"/>
      <c r="M85" s="18"/>
      <c r="N85" s="96"/>
      <c r="O85" s="96"/>
      <c r="P85" s="97"/>
      <c r="Q85" s="98"/>
      <c r="R85" s="99"/>
      <c r="S85" s="99"/>
      <c r="T85" s="95"/>
      <c r="U85" s="95"/>
      <c r="V85" s="94"/>
      <c r="W85" s="95"/>
      <c r="X85" s="95" t="n">
        <f aca="false">IF(C85="","",SUM(L85,T85,U85,W85))</f>
        <v>0</v>
      </c>
      <c r="Y85" s="100" t="str">
        <f aca="false">IF(OR(C85="",H85=""),"",X85-H85)</f>
        <v/>
      </c>
      <c r="Z85" s="88"/>
      <c r="AA85" s="88"/>
      <c r="AB85" s="17"/>
      <c r="AC85" s="17"/>
    </row>
    <row r="86" customFormat="false" ht="84" hidden="false" customHeight="true" outlineLevel="0" collapsed="false">
      <c r="A86" s="88" t="n">
        <f aca="false">IF(C86="","",ROW()-5)</f>
        <v>81</v>
      </c>
      <c r="B86" s="89" t="s">
        <v>258</v>
      </c>
      <c r="C86" s="88" t="s">
        <v>273</v>
      </c>
      <c r="D86" s="103" t="s">
        <v>274</v>
      </c>
      <c r="E86" s="88" t="n">
        <v>4</v>
      </c>
      <c r="F86" s="91" t="s">
        <v>278</v>
      </c>
      <c r="G86" s="92"/>
      <c r="H86" s="93"/>
      <c r="I86" s="17"/>
      <c r="J86" s="94"/>
      <c r="K86" s="17"/>
      <c r="L86" s="95"/>
      <c r="M86" s="18"/>
      <c r="N86" s="96"/>
      <c r="O86" s="96"/>
      <c r="P86" s="97"/>
      <c r="Q86" s="98"/>
      <c r="R86" s="99"/>
      <c r="S86" s="99"/>
      <c r="T86" s="95"/>
      <c r="U86" s="95"/>
      <c r="V86" s="94"/>
      <c r="W86" s="95"/>
      <c r="X86" s="95" t="n">
        <f aca="false">IF(C86="","",SUM(L86,T86,U86,W86))</f>
        <v>0</v>
      </c>
      <c r="Y86" s="100" t="str">
        <f aca="false">IF(OR(C86="",H86=""),"",X86-H86)</f>
        <v/>
      </c>
      <c r="Z86" s="88"/>
      <c r="AA86" s="88"/>
      <c r="AB86" s="17"/>
      <c r="AC86" s="17"/>
    </row>
    <row r="87" customFormat="false" ht="57.75" hidden="false" customHeight="true" outlineLevel="0" collapsed="false">
      <c r="A87" s="88" t="n">
        <f aca="false">IF(C87="","",ROW()-5)</f>
        <v>82</v>
      </c>
      <c r="B87" s="89" t="s">
        <v>258</v>
      </c>
      <c r="C87" s="88" t="s">
        <v>273</v>
      </c>
      <c r="D87" s="103" t="s">
        <v>274</v>
      </c>
      <c r="E87" s="88" t="n">
        <v>5</v>
      </c>
      <c r="F87" s="91" t="s">
        <v>279</v>
      </c>
      <c r="G87" s="92"/>
      <c r="H87" s="93"/>
      <c r="I87" s="17"/>
      <c r="J87" s="94"/>
      <c r="K87" s="17"/>
      <c r="L87" s="95"/>
      <c r="M87" s="18"/>
      <c r="N87" s="96"/>
      <c r="O87" s="96"/>
      <c r="P87" s="97"/>
      <c r="Q87" s="98"/>
      <c r="R87" s="99"/>
      <c r="S87" s="99"/>
      <c r="T87" s="95"/>
      <c r="U87" s="95"/>
      <c r="V87" s="94"/>
      <c r="W87" s="95"/>
      <c r="X87" s="95" t="n">
        <f aca="false">IF(C87="","",SUM(L87,T87,U87,W87))</f>
        <v>0</v>
      </c>
      <c r="Y87" s="100" t="str">
        <f aca="false">IF(OR(C87="",H87=""),"",X87-H87)</f>
        <v/>
      </c>
      <c r="Z87" s="88"/>
      <c r="AA87" s="88"/>
      <c r="AB87" s="17"/>
      <c r="AC87" s="17"/>
    </row>
    <row r="88" customFormat="false" ht="57.75" hidden="false" customHeight="true" outlineLevel="0" collapsed="false">
      <c r="A88" s="88" t="n">
        <f aca="false">IF(C88="","",ROW()-5)</f>
        <v>83</v>
      </c>
      <c r="B88" s="89" t="s">
        <v>258</v>
      </c>
      <c r="C88" s="88" t="s">
        <v>280</v>
      </c>
      <c r="D88" s="103" t="s">
        <v>281</v>
      </c>
      <c r="E88" s="88" t="n">
        <v>1</v>
      </c>
      <c r="F88" s="91" t="s">
        <v>282</v>
      </c>
      <c r="G88" s="92"/>
      <c r="H88" s="93"/>
      <c r="I88" s="17"/>
      <c r="J88" s="94"/>
      <c r="K88" s="17"/>
      <c r="L88" s="95"/>
      <c r="M88" s="18"/>
      <c r="N88" s="96"/>
      <c r="O88" s="96"/>
      <c r="P88" s="97"/>
      <c r="Q88" s="98"/>
      <c r="R88" s="99"/>
      <c r="S88" s="99"/>
      <c r="T88" s="95"/>
      <c r="U88" s="95"/>
      <c r="V88" s="94"/>
      <c r="W88" s="95"/>
      <c r="X88" s="95" t="n">
        <f aca="false">IF(C88="","",SUM(L88,T88,U88,W88))</f>
        <v>0</v>
      </c>
      <c r="Y88" s="100" t="str">
        <f aca="false">IF(OR(C88="",H88=""),"",X88-H88)</f>
        <v/>
      </c>
      <c r="Z88" s="88"/>
      <c r="AA88" s="88"/>
      <c r="AB88" s="17"/>
      <c r="AC88" s="17"/>
    </row>
    <row r="89" customFormat="false" ht="57.75" hidden="false" customHeight="true" outlineLevel="0" collapsed="false">
      <c r="A89" s="88" t="n">
        <f aca="false">IF(C89="","",ROW()-5)</f>
        <v>84</v>
      </c>
      <c r="B89" s="89" t="s">
        <v>258</v>
      </c>
      <c r="C89" s="88" t="s">
        <v>280</v>
      </c>
      <c r="D89" s="103" t="s">
        <v>281</v>
      </c>
      <c r="E89" s="88" t="n">
        <v>2</v>
      </c>
      <c r="F89" s="91" t="s">
        <v>283</v>
      </c>
      <c r="G89" s="92"/>
      <c r="H89" s="93"/>
      <c r="I89" s="17"/>
      <c r="J89" s="94"/>
      <c r="K89" s="17"/>
      <c r="L89" s="95"/>
      <c r="M89" s="18"/>
      <c r="N89" s="96"/>
      <c r="O89" s="96"/>
      <c r="P89" s="97"/>
      <c r="Q89" s="98"/>
      <c r="R89" s="99"/>
      <c r="S89" s="99"/>
      <c r="T89" s="95"/>
      <c r="U89" s="95"/>
      <c r="V89" s="94"/>
      <c r="W89" s="95"/>
      <c r="X89" s="95" t="n">
        <f aca="false">IF(C89="","",SUM(L89,T89,U89,W89))</f>
        <v>0</v>
      </c>
      <c r="Y89" s="100" t="str">
        <f aca="false">IF(OR(C89="",H89=""),"",X89-H89)</f>
        <v/>
      </c>
      <c r="Z89" s="88"/>
      <c r="AA89" s="88"/>
      <c r="AB89" s="17"/>
      <c r="AC89" s="17"/>
    </row>
    <row r="90" customFormat="false" ht="57.75" hidden="false" customHeight="true" outlineLevel="0" collapsed="false">
      <c r="A90" s="88" t="n">
        <f aca="false">IF(C90="","",ROW()-5)</f>
        <v>85</v>
      </c>
      <c r="B90" s="89" t="s">
        <v>258</v>
      </c>
      <c r="C90" s="88" t="s">
        <v>280</v>
      </c>
      <c r="D90" s="103" t="s">
        <v>281</v>
      </c>
      <c r="E90" s="88" t="n">
        <v>3</v>
      </c>
      <c r="F90" s="91" t="s">
        <v>284</v>
      </c>
      <c r="G90" s="92"/>
      <c r="H90" s="93"/>
      <c r="I90" s="17"/>
      <c r="J90" s="94"/>
      <c r="K90" s="17"/>
      <c r="L90" s="95"/>
      <c r="M90" s="18"/>
      <c r="N90" s="96"/>
      <c r="O90" s="96"/>
      <c r="P90" s="97"/>
      <c r="Q90" s="98"/>
      <c r="R90" s="99"/>
      <c r="S90" s="99"/>
      <c r="T90" s="95"/>
      <c r="U90" s="95"/>
      <c r="V90" s="94"/>
      <c r="W90" s="95"/>
      <c r="X90" s="95" t="n">
        <f aca="false">IF(C90="","",SUM(L90,T90,U90,W90))</f>
        <v>0</v>
      </c>
      <c r="Y90" s="100" t="str">
        <f aca="false">IF(OR(C90="",H90=""),"",X90-H90)</f>
        <v/>
      </c>
      <c r="Z90" s="88"/>
      <c r="AA90" s="88"/>
      <c r="AB90" s="17"/>
      <c r="AC90" s="17"/>
    </row>
    <row r="91" customFormat="false" ht="45" hidden="false" customHeight="true" outlineLevel="0" collapsed="false">
      <c r="A91" s="88" t="n">
        <f aca="false">IF(C91="","",ROW()-5)</f>
        <v>86</v>
      </c>
      <c r="B91" s="89" t="s">
        <v>258</v>
      </c>
      <c r="C91" s="88" t="s">
        <v>280</v>
      </c>
      <c r="D91" s="103" t="s">
        <v>281</v>
      </c>
      <c r="E91" s="88" t="n">
        <v>4</v>
      </c>
      <c r="F91" s="91" t="s">
        <v>285</v>
      </c>
      <c r="G91" s="92"/>
      <c r="H91" s="93"/>
      <c r="I91" s="17"/>
      <c r="J91" s="94"/>
      <c r="K91" s="17"/>
      <c r="L91" s="95"/>
      <c r="M91" s="18"/>
      <c r="N91" s="96"/>
      <c r="O91" s="96"/>
      <c r="P91" s="97"/>
      <c r="Q91" s="98"/>
      <c r="R91" s="99"/>
      <c r="S91" s="99"/>
      <c r="T91" s="95"/>
      <c r="U91" s="95"/>
      <c r="V91" s="94"/>
      <c r="W91" s="95"/>
      <c r="X91" s="95" t="n">
        <f aca="false">IF(C91="","",SUM(L91,T91,U91,W91))</f>
        <v>0</v>
      </c>
      <c r="Y91" s="100" t="str">
        <f aca="false">IF(OR(C91="",H91=""),"",X91-H91)</f>
        <v/>
      </c>
      <c r="Z91" s="88"/>
      <c r="AA91" s="88"/>
      <c r="AB91" s="17"/>
      <c r="AC91" s="17"/>
    </row>
    <row r="92" customFormat="false" ht="45" hidden="false" customHeight="true" outlineLevel="0" collapsed="false">
      <c r="A92" s="88" t="n">
        <f aca="false">IF(C92="","",ROW()-5)</f>
        <v>87</v>
      </c>
      <c r="B92" s="89" t="s">
        <v>258</v>
      </c>
      <c r="C92" s="88" t="s">
        <v>286</v>
      </c>
      <c r="D92" s="103" t="s">
        <v>287</v>
      </c>
      <c r="E92" s="88" t="n">
        <v>1</v>
      </c>
      <c r="F92" s="101" t="s">
        <v>288</v>
      </c>
      <c r="G92" s="92"/>
      <c r="H92" s="93"/>
      <c r="I92" s="17"/>
      <c r="J92" s="94"/>
      <c r="K92" s="17"/>
      <c r="L92" s="95"/>
      <c r="M92" s="18"/>
      <c r="N92" s="96"/>
      <c r="O92" s="96"/>
      <c r="P92" s="97"/>
      <c r="Q92" s="98"/>
      <c r="R92" s="99"/>
      <c r="S92" s="99"/>
      <c r="T92" s="95"/>
      <c r="U92" s="95"/>
      <c r="V92" s="94"/>
      <c r="W92" s="95"/>
      <c r="X92" s="95" t="n">
        <f aca="false">IF(C92="","",SUM(L92,T92,U92,W92))</f>
        <v>0</v>
      </c>
      <c r="Y92" s="100" t="str">
        <f aca="false">IF(OR(C92="",H92=""),"",X92-H92)</f>
        <v/>
      </c>
      <c r="Z92" s="88"/>
      <c r="AA92" s="88"/>
      <c r="AB92" s="17"/>
      <c r="AC92" s="17"/>
    </row>
    <row r="93" customFormat="false" ht="70.5" hidden="false" customHeight="true" outlineLevel="0" collapsed="false">
      <c r="A93" s="88" t="n">
        <f aca="false">IF(C93="","",ROW()-5)</f>
        <v>88</v>
      </c>
      <c r="B93" s="89" t="s">
        <v>258</v>
      </c>
      <c r="C93" s="88" t="s">
        <v>286</v>
      </c>
      <c r="D93" s="103" t="s">
        <v>287</v>
      </c>
      <c r="E93" s="88" t="n">
        <v>2</v>
      </c>
      <c r="F93" s="101" t="s">
        <v>289</v>
      </c>
      <c r="G93" s="92"/>
      <c r="H93" s="93"/>
      <c r="I93" s="17"/>
      <c r="J93" s="94"/>
      <c r="K93" s="17"/>
      <c r="L93" s="95"/>
      <c r="M93" s="18"/>
      <c r="N93" s="96"/>
      <c r="O93" s="96"/>
      <c r="P93" s="97"/>
      <c r="Q93" s="98"/>
      <c r="R93" s="99"/>
      <c r="S93" s="99"/>
      <c r="T93" s="95"/>
      <c r="U93" s="95"/>
      <c r="V93" s="94"/>
      <c r="W93" s="95"/>
      <c r="X93" s="95" t="n">
        <f aca="false">IF(C93="","",SUM(L93,T93,U93,W93))</f>
        <v>0</v>
      </c>
      <c r="Y93" s="100" t="str">
        <f aca="false">IF(OR(C93="",H93=""),"",X93-H93)</f>
        <v/>
      </c>
      <c r="Z93" s="88"/>
      <c r="AA93" s="88"/>
      <c r="AB93" s="17"/>
      <c r="AC93" s="17"/>
    </row>
    <row r="94" customFormat="false" ht="57.75" hidden="false" customHeight="true" outlineLevel="0" collapsed="false">
      <c r="A94" s="88" t="n">
        <f aca="false">IF(C94="","",ROW()-5)</f>
        <v>89</v>
      </c>
      <c r="B94" s="89" t="s">
        <v>258</v>
      </c>
      <c r="C94" s="88" t="s">
        <v>286</v>
      </c>
      <c r="D94" s="103" t="s">
        <v>287</v>
      </c>
      <c r="E94" s="88" t="n">
        <v>3</v>
      </c>
      <c r="F94" s="101" t="s">
        <v>290</v>
      </c>
      <c r="G94" s="92"/>
      <c r="H94" s="93"/>
      <c r="I94" s="17"/>
      <c r="J94" s="94"/>
      <c r="K94" s="17"/>
      <c r="L94" s="95"/>
      <c r="M94" s="18"/>
      <c r="N94" s="96"/>
      <c r="O94" s="96"/>
      <c r="P94" s="97"/>
      <c r="Q94" s="98"/>
      <c r="R94" s="99"/>
      <c r="S94" s="99"/>
      <c r="T94" s="95"/>
      <c r="U94" s="95"/>
      <c r="V94" s="94"/>
      <c r="W94" s="95"/>
      <c r="X94" s="95" t="n">
        <f aca="false">IF(C94="","",SUM(L94,T94,U94,W94))</f>
        <v>0</v>
      </c>
      <c r="Y94" s="100" t="str">
        <f aca="false">IF(OR(C94="",H94=""),"",X94-H94)</f>
        <v/>
      </c>
      <c r="Z94" s="88"/>
      <c r="AA94" s="88"/>
      <c r="AB94" s="17"/>
      <c r="AC94" s="17"/>
    </row>
    <row r="95" customFormat="false" ht="45" hidden="false" customHeight="true" outlineLevel="0" collapsed="false">
      <c r="A95" s="88" t="n">
        <f aca="false">IF(C95="","",ROW()-5)</f>
        <v>90</v>
      </c>
      <c r="B95" s="89" t="s">
        <v>258</v>
      </c>
      <c r="C95" s="88" t="s">
        <v>286</v>
      </c>
      <c r="D95" s="103" t="s">
        <v>287</v>
      </c>
      <c r="E95" s="88" t="n">
        <v>4</v>
      </c>
      <c r="F95" s="101" t="s">
        <v>291</v>
      </c>
      <c r="G95" s="92"/>
      <c r="H95" s="93"/>
      <c r="I95" s="17"/>
      <c r="J95" s="94"/>
      <c r="K95" s="17"/>
      <c r="L95" s="95"/>
      <c r="M95" s="18"/>
      <c r="N95" s="96"/>
      <c r="O95" s="96"/>
      <c r="P95" s="97"/>
      <c r="Q95" s="98"/>
      <c r="R95" s="99"/>
      <c r="S95" s="99"/>
      <c r="T95" s="95"/>
      <c r="U95" s="95"/>
      <c r="V95" s="94"/>
      <c r="W95" s="95"/>
      <c r="X95" s="95" t="n">
        <f aca="false">IF(C95="","",SUM(L95,T95,U95,W95))</f>
        <v>0</v>
      </c>
      <c r="Y95" s="100" t="str">
        <f aca="false">IF(OR(C95="",H95=""),"",X95-H95)</f>
        <v/>
      </c>
      <c r="Z95" s="88"/>
      <c r="AA95" s="88"/>
      <c r="AB95" s="17"/>
      <c r="AC95" s="17"/>
    </row>
    <row r="96" customFormat="false" ht="70.5" hidden="false" customHeight="true" outlineLevel="0" collapsed="false">
      <c r="A96" s="88" t="n">
        <f aca="false">IF(C96="","",ROW()-5)</f>
        <v>91</v>
      </c>
      <c r="B96" s="89" t="s">
        <v>258</v>
      </c>
      <c r="C96" s="88" t="s">
        <v>292</v>
      </c>
      <c r="D96" s="103" t="s">
        <v>293</v>
      </c>
      <c r="E96" s="88" t="n">
        <v>1</v>
      </c>
      <c r="F96" s="101" t="s">
        <v>294</v>
      </c>
      <c r="G96" s="92"/>
      <c r="H96" s="93"/>
      <c r="I96" s="17"/>
      <c r="J96" s="94"/>
      <c r="K96" s="17"/>
      <c r="L96" s="95"/>
      <c r="M96" s="18"/>
      <c r="N96" s="96"/>
      <c r="O96" s="96"/>
      <c r="P96" s="97"/>
      <c r="Q96" s="98"/>
      <c r="R96" s="99"/>
      <c r="S96" s="99"/>
      <c r="T96" s="95"/>
      <c r="U96" s="95"/>
      <c r="V96" s="94"/>
      <c r="W96" s="95"/>
      <c r="X96" s="95" t="n">
        <f aca="false">IF(C96="","",SUM(L96,T96,U96,W96))</f>
        <v>0</v>
      </c>
      <c r="Y96" s="100" t="str">
        <f aca="false">IF(OR(C96="",H96=""),"",X96-H96)</f>
        <v/>
      </c>
      <c r="Z96" s="88"/>
      <c r="AA96" s="88"/>
      <c r="AB96" s="17"/>
      <c r="AC96" s="17"/>
    </row>
    <row r="97" customFormat="false" ht="57.75" hidden="false" customHeight="true" outlineLevel="0" collapsed="false">
      <c r="A97" s="88" t="n">
        <f aca="false">IF(C97="","",ROW()-5)</f>
        <v>92</v>
      </c>
      <c r="B97" s="89" t="s">
        <v>258</v>
      </c>
      <c r="C97" s="88" t="s">
        <v>292</v>
      </c>
      <c r="D97" s="103" t="s">
        <v>293</v>
      </c>
      <c r="E97" s="88" t="n">
        <v>2</v>
      </c>
      <c r="F97" s="91" t="s">
        <v>295</v>
      </c>
      <c r="G97" s="92"/>
      <c r="H97" s="93"/>
      <c r="I97" s="17"/>
      <c r="J97" s="94"/>
      <c r="K97" s="17"/>
      <c r="L97" s="95"/>
      <c r="M97" s="18"/>
      <c r="N97" s="96"/>
      <c r="O97" s="96"/>
      <c r="P97" s="97"/>
      <c r="Q97" s="98"/>
      <c r="R97" s="99"/>
      <c r="S97" s="99"/>
      <c r="T97" s="95"/>
      <c r="U97" s="95"/>
      <c r="V97" s="94"/>
      <c r="W97" s="95"/>
      <c r="X97" s="95" t="n">
        <f aca="false">IF(C97="","",SUM(L97,T97,U97,W97))</f>
        <v>0</v>
      </c>
      <c r="Y97" s="100" t="str">
        <f aca="false">IF(OR(C97="",H97=""),"",X97-H97)</f>
        <v/>
      </c>
      <c r="Z97" s="88"/>
      <c r="AA97" s="88"/>
      <c r="AB97" s="17"/>
      <c r="AC97" s="17"/>
    </row>
    <row r="98" customFormat="false" ht="57.75" hidden="false" customHeight="true" outlineLevel="0" collapsed="false">
      <c r="A98" s="88" t="n">
        <f aca="false">IF(C98="","",ROW()-5)</f>
        <v>93</v>
      </c>
      <c r="B98" s="89" t="s">
        <v>258</v>
      </c>
      <c r="C98" s="88" t="s">
        <v>292</v>
      </c>
      <c r="D98" s="103" t="s">
        <v>293</v>
      </c>
      <c r="E98" s="88" t="n">
        <v>3</v>
      </c>
      <c r="F98" s="91" t="s">
        <v>296</v>
      </c>
      <c r="G98" s="92"/>
      <c r="H98" s="93"/>
      <c r="I98" s="17"/>
      <c r="J98" s="94"/>
      <c r="K98" s="17"/>
      <c r="L98" s="95"/>
      <c r="M98" s="18"/>
      <c r="N98" s="96"/>
      <c r="O98" s="96"/>
      <c r="P98" s="97"/>
      <c r="Q98" s="98"/>
      <c r="R98" s="99"/>
      <c r="S98" s="99"/>
      <c r="T98" s="95"/>
      <c r="U98" s="95"/>
      <c r="V98" s="94"/>
      <c r="W98" s="95"/>
      <c r="X98" s="95" t="n">
        <f aca="false">IF(C98="","",SUM(L98,T98,U98,W98))</f>
        <v>0</v>
      </c>
      <c r="Y98" s="100" t="str">
        <f aca="false">IF(OR(C98="",H98=""),"",X98-H98)</f>
        <v/>
      </c>
      <c r="Z98" s="88"/>
      <c r="AA98" s="88"/>
      <c r="AB98" s="17"/>
      <c r="AC98" s="17"/>
    </row>
    <row r="99" customFormat="false" ht="57.75" hidden="false" customHeight="true" outlineLevel="0" collapsed="false">
      <c r="A99" s="88" t="n">
        <f aca="false">IF(C99="","",ROW()-5)</f>
        <v>94</v>
      </c>
      <c r="B99" s="89" t="s">
        <v>258</v>
      </c>
      <c r="C99" s="88" t="s">
        <v>297</v>
      </c>
      <c r="D99" s="90" t="s">
        <v>298</v>
      </c>
      <c r="E99" s="88" t="n">
        <v>1</v>
      </c>
      <c r="F99" s="101" t="s">
        <v>299</v>
      </c>
      <c r="G99" s="92"/>
      <c r="H99" s="93"/>
      <c r="I99" s="17"/>
      <c r="J99" s="94"/>
      <c r="K99" s="17"/>
      <c r="L99" s="95"/>
      <c r="M99" s="18"/>
      <c r="N99" s="96"/>
      <c r="O99" s="96"/>
      <c r="P99" s="97"/>
      <c r="Q99" s="98"/>
      <c r="R99" s="99"/>
      <c r="S99" s="99"/>
      <c r="T99" s="95"/>
      <c r="U99" s="95"/>
      <c r="V99" s="94"/>
      <c r="W99" s="95"/>
      <c r="X99" s="95" t="n">
        <f aca="false">IF(C99="","",SUM(L99,T99,U99,W99))</f>
        <v>0</v>
      </c>
      <c r="Y99" s="100" t="str">
        <f aca="false">IF(OR(C99="",H99=""),"",X99-H99)</f>
        <v/>
      </c>
      <c r="Z99" s="88"/>
      <c r="AA99" s="88"/>
      <c r="AB99" s="17"/>
      <c r="AC99" s="17"/>
    </row>
    <row r="100" customFormat="false" ht="57.75" hidden="false" customHeight="true" outlineLevel="0" collapsed="false">
      <c r="A100" s="88" t="n">
        <f aca="false">IF(C100="","",ROW()-5)</f>
        <v>95</v>
      </c>
      <c r="B100" s="89" t="s">
        <v>258</v>
      </c>
      <c r="C100" s="88" t="s">
        <v>297</v>
      </c>
      <c r="D100" s="90" t="s">
        <v>298</v>
      </c>
      <c r="E100" s="88" t="n">
        <v>2</v>
      </c>
      <c r="F100" s="101" t="s">
        <v>300</v>
      </c>
      <c r="G100" s="92"/>
      <c r="H100" s="93"/>
      <c r="I100" s="17"/>
      <c r="J100" s="94"/>
      <c r="K100" s="17"/>
      <c r="L100" s="95"/>
      <c r="M100" s="18"/>
      <c r="N100" s="96"/>
      <c r="O100" s="96"/>
      <c r="P100" s="97"/>
      <c r="Q100" s="98"/>
      <c r="R100" s="99"/>
      <c r="S100" s="99"/>
      <c r="T100" s="95"/>
      <c r="U100" s="95"/>
      <c r="V100" s="94"/>
      <c r="W100" s="95"/>
      <c r="X100" s="95" t="n">
        <f aca="false">IF(C100="","",SUM(L100,T100,U100,W100))</f>
        <v>0</v>
      </c>
      <c r="Y100" s="100" t="str">
        <f aca="false">IF(OR(C100="",H100=""),"",X100-H100)</f>
        <v/>
      </c>
      <c r="Z100" s="88"/>
      <c r="AA100" s="88"/>
      <c r="AB100" s="17"/>
      <c r="AC100" s="17"/>
    </row>
    <row r="101" customFormat="false" ht="70.5" hidden="false" customHeight="true" outlineLevel="0" collapsed="false">
      <c r="A101" s="88" t="n">
        <f aca="false">IF(C101="","",ROW()-5)</f>
        <v>96</v>
      </c>
      <c r="B101" s="89" t="s">
        <v>258</v>
      </c>
      <c r="C101" s="88" t="s">
        <v>297</v>
      </c>
      <c r="D101" s="90" t="s">
        <v>298</v>
      </c>
      <c r="E101" s="88" t="n">
        <v>3</v>
      </c>
      <c r="F101" s="91" t="s">
        <v>301</v>
      </c>
      <c r="G101" s="92"/>
      <c r="H101" s="93"/>
      <c r="I101" s="17"/>
      <c r="J101" s="94"/>
      <c r="K101" s="17"/>
      <c r="L101" s="95"/>
      <c r="M101" s="18"/>
      <c r="N101" s="96"/>
      <c r="O101" s="96"/>
      <c r="P101" s="97"/>
      <c r="Q101" s="98"/>
      <c r="R101" s="99"/>
      <c r="S101" s="99"/>
      <c r="T101" s="95"/>
      <c r="U101" s="95"/>
      <c r="V101" s="94"/>
      <c r="W101" s="95"/>
      <c r="X101" s="95" t="n">
        <f aca="false">IF(C101="","",SUM(L101,T101,U101,W101))</f>
        <v>0</v>
      </c>
      <c r="Y101" s="100" t="str">
        <f aca="false">IF(OR(C101="",H101=""),"",X101-H101)</f>
        <v/>
      </c>
      <c r="Z101" s="88"/>
      <c r="AA101" s="88"/>
      <c r="AB101" s="17"/>
      <c r="AC101" s="17"/>
    </row>
    <row r="102" customFormat="false" ht="57.75" hidden="false" customHeight="true" outlineLevel="0" collapsed="false">
      <c r="A102" s="88" t="n">
        <f aca="false">IF(C102="","",ROW()-5)</f>
        <v>97</v>
      </c>
      <c r="B102" s="89" t="s">
        <v>258</v>
      </c>
      <c r="C102" s="88" t="s">
        <v>297</v>
      </c>
      <c r="D102" s="90" t="s">
        <v>298</v>
      </c>
      <c r="E102" s="88" t="n">
        <v>4</v>
      </c>
      <c r="F102" s="101" t="s">
        <v>302</v>
      </c>
      <c r="G102" s="92"/>
      <c r="H102" s="93"/>
      <c r="I102" s="17"/>
      <c r="J102" s="94"/>
      <c r="K102" s="17"/>
      <c r="L102" s="95"/>
      <c r="M102" s="18"/>
      <c r="N102" s="96"/>
      <c r="O102" s="96"/>
      <c r="P102" s="97"/>
      <c r="Q102" s="98"/>
      <c r="R102" s="99"/>
      <c r="S102" s="99"/>
      <c r="T102" s="95"/>
      <c r="U102" s="95"/>
      <c r="V102" s="94"/>
      <c r="W102" s="95"/>
      <c r="X102" s="95" t="n">
        <f aca="false">IF(C102="","",SUM(L102,T102,U102,W102))</f>
        <v>0</v>
      </c>
      <c r="Y102" s="100" t="str">
        <f aca="false">IF(OR(C102="",H102=""),"",X102-H102)</f>
        <v/>
      </c>
      <c r="Z102" s="88"/>
      <c r="AA102" s="88"/>
      <c r="AB102" s="17"/>
      <c r="AC102" s="17"/>
    </row>
    <row r="103" customFormat="false" ht="45" hidden="false" customHeight="true" outlineLevel="0" collapsed="false">
      <c r="A103" s="88" t="n">
        <f aca="false">IF(C103="","",ROW()-5)</f>
        <v>98</v>
      </c>
      <c r="B103" s="89" t="s">
        <v>258</v>
      </c>
      <c r="C103" s="88" t="s">
        <v>303</v>
      </c>
      <c r="D103" s="90" t="s">
        <v>304</v>
      </c>
      <c r="E103" s="88" t="n">
        <v>1</v>
      </c>
      <c r="F103" s="91" t="s">
        <v>305</v>
      </c>
      <c r="G103" s="92"/>
      <c r="H103" s="93"/>
      <c r="I103" s="17"/>
      <c r="J103" s="94"/>
      <c r="K103" s="17"/>
      <c r="L103" s="95"/>
      <c r="M103" s="18"/>
      <c r="N103" s="96"/>
      <c r="O103" s="96"/>
      <c r="P103" s="97"/>
      <c r="Q103" s="98"/>
      <c r="R103" s="99"/>
      <c r="S103" s="99"/>
      <c r="T103" s="95"/>
      <c r="U103" s="95"/>
      <c r="V103" s="94"/>
      <c r="W103" s="95"/>
      <c r="X103" s="95" t="n">
        <f aca="false">IF(C103="","",SUM(L103,T103,U103,W103))</f>
        <v>0</v>
      </c>
      <c r="Y103" s="100" t="str">
        <f aca="false">IF(OR(C103="",H103=""),"",X103-H103)</f>
        <v/>
      </c>
      <c r="Z103" s="88"/>
      <c r="AA103" s="88"/>
      <c r="AB103" s="17"/>
      <c r="AC103" s="17"/>
    </row>
    <row r="104" customFormat="false" ht="57.75" hidden="false" customHeight="true" outlineLevel="0" collapsed="false">
      <c r="A104" s="88" t="n">
        <f aca="false">IF(C104="","",ROW()-5)</f>
        <v>99</v>
      </c>
      <c r="B104" s="89" t="s">
        <v>258</v>
      </c>
      <c r="C104" s="88" t="s">
        <v>303</v>
      </c>
      <c r="D104" s="90" t="s">
        <v>304</v>
      </c>
      <c r="E104" s="88" t="n">
        <v>2</v>
      </c>
      <c r="F104" s="101" t="s">
        <v>306</v>
      </c>
      <c r="G104" s="92"/>
      <c r="H104" s="93"/>
      <c r="I104" s="17"/>
      <c r="J104" s="94"/>
      <c r="K104" s="17"/>
      <c r="L104" s="95"/>
      <c r="M104" s="18"/>
      <c r="N104" s="96"/>
      <c r="O104" s="96"/>
      <c r="P104" s="97"/>
      <c r="Q104" s="98"/>
      <c r="R104" s="99"/>
      <c r="S104" s="99"/>
      <c r="T104" s="95"/>
      <c r="U104" s="95"/>
      <c r="V104" s="94"/>
      <c r="W104" s="95"/>
      <c r="X104" s="95" t="n">
        <f aca="false">IF(C104="","",SUM(L104,T104,U104,W104))</f>
        <v>0</v>
      </c>
      <c r="Y104" s="100" t="str">
        <f aca="false">IF(OR(C104="",H104=""),"",X104-H104)</f>
        <v/>
      </c>
      <c r="Z104" s="88"/>
      <c r="AA104" s="88"/>
      <c r="AB104" s="17"/>
      <c r="AC104" s="17"/>
    </row>
    <row r="105" customFormat="false" ht="70.5" hidden="false" customHeight="true" outlineLevel="0" collapsed="false">
      <c r="A105" s="88" t="n">
        <f aca="false">IF(C105="","",ROW()-5)</f>
        <v>100</v>
      </c>
      <c r="B105" s="89" t="s">
        <v>258</v>
      </c>
      <c r="C105" s="88" t="s">
        <v>303</v>
      </c>
      <c r="D105" s="90" t="s">
        <v>304</v>
      </c>
      <c r="E105" s="88" t="n">
        <v>3</v>
      </c>
      <c r="F105" s="91" t="s">
        <v>307</v>
      </c>
      <c r="G105" s="92"/>
      <c r="H105" s="93"/>
      <c r="I105" s="17"/>
      <c r="J105" s="94"/>
      <c r="K105" s="17"/>
      <c r="L105" s="95"/>
      <c r="M105" s="18"/>
      <c r="N105" s="96"/>
      <c r="O105" s="96"/>
      <c r="P105" s="97"/>
      <c r="Q105" s="98"/>
      <c r="R105" s="99"/>
      <c r="S105" s="99"/>
      <c r="T105" s="95"/>
      <c r="U105" s="95"/>
      <c r="V105" s="94"/>
      <c r="W105" s="95"/>
      <c r="X105" s="95" t="n">
        <f aca="false">IF(C105="","",SUM(L105,T105,U105,W105))</f>
        <v>0</v>
      </c>
      <c r="Y105" s="100" t="str">
        <f aca="false">IF(OR(C105="",H105=""),"",X105-H105)</f>
        <v/>
      </c>
      <c r="Z105" s="88"/>
      <c r="AA105" s="88"/>
      <c r="AB105" s="17"/>
      <c r="AC105" s="17"/>
    </row>
    <row r="106" customFormat="false" ht="57.75" hidden="false" customHeight="true" outlineLevel="0" collapsed="false">
      <c r="A106" s="88" t="n">
        <f aca="false">IF(C106="","",ROW()-5)</f>
        <v>101</v>
      </c>
      <c r="B106" s="89" t="s">
        <v>258</v>
      </c>
      <c r="C106" s="88" t="s">
        <v>303</v>
      </c>
      <c r="D106" s="90" t="s">
        <v>304</v>
      </c>
      <c r="E106" s="88" t="n">
        <v>4</v>
      </c>
      <c r="F106" s="91" t="s">
        <v>308</v>
      </c>
      <c r="G106" s="92"/>
      <c r="H106" s="93"/>
      <c r="I106" s="17"/>
      <c r="J106" s="94"/>
      <c r="K106" s="17"/>
      <c r="L106" s="95"/>
      <c r="M106" s="18"/>
      <c r="N106" s="96"/>
      <c r="O106" s="96"/>
      <c r="P106" s="97"/>
      <c r="Q106" s="98"/>
      <c r="R106" s="99"/>
      <c r="S106" s="99"/>
      <c r="T106" s="95"/>
      <c r="U106" s="95"/>
      <c r="V106" s="94"/>
      <c r="W106" s="95"/>
      <c r="X106" s="95" t="n">
        <f aca="false">IF(C106="","",SUM(L106,T106,U106,W106))</f>
        <v>0</v>
      </c>
      <c r="Y106" s="100" t="str">
        <f aca="false">IF(OR(C106="",H106=""),"",X106-H106)</f>
        <v/>
      </c>
      <c r="Z106" s="88"/>
      <c r="AA106" s="88"/>
      <c r="AB106" s="17"/>
      <c r="AC106" s="17"/>
    </row>
    <row r="107" customFormat="false" ht="57.75" hidden="false" customHeight="true" outlineLevel="0" collapsed="false">
      <c r="A107" s="88" t="n">
        <f aca="false">IF(C107="","",ROW()-5)</f>
        <v>102</v>
      </c>
      <c r="B107" s="89" t="s">
        <v>237</v>
      </c>
      <c r="C107" s="88" t="s">
        <v>309</v>
      </c>
      <c r="D107" s="103" t="s">
        <v>310</v>
      </c>
      <c r="E107" s="88" t="n">
        <v>1</v>
      </c>
      <c r="F107" s="91" t="s">
        <v>311</v>
      </c>
      <c r="G107" s="92"/>
      <c r="H107" s="93"/>
      <c r="I107" s="17"/>
      <c r="J107" s="94"/>
      <c r="K107" s="17"/>
      <c r="L107" s="95"/>
      <c r="M107" s="18"/>
      <c r="N107" s="96"/>
      <c r="O107" s="96"/>
      <c r="P107" s="97"/>
      <c r="Q107" s="98"/>
      <c r="R107" s="99"/>
      <c r="S107" s="99"/>
      <c r="T107" s="95"/>
      <c r="U107" s="95"/>
      <c r="V107" s="94"/>
      <c r="W107" s="95"/>
      <c r="X107" s="95" t="n">
        <f aca="false">IF(C107="","",SUM(L107,T107,U107,W107))</f>
        <v>0</v>
      </c>
      <c r="Y107" s="100" t="str">
        <f aca="false">IF(OR(C107="",H107=""),"",X107-H107)</f>
        <v/>
      </c>
      <c r="Z107" s="88"/>
      <c r="AA107" s="88"/>
      <c r="AB107" s="17"/>
      <c r="AC107" s="17"/>
    </row>
    <row r="108" customFormat="false" ht="45" hidden="false" customHeight="true" outlineLevel="0" collapsed="false">
      <c r="A108" s="88" t="n">
        <f aca="false">IF(C108="","",ROW()-5)</f>
        <v>103</v>
      </c>
      <c r="B108" s="89" t="s">
        <v>237</v>
      </c>
      <c r="C108" s="88" t="s">
        <v>309</v>
      </c>
      <c r="D108" s="103" t="s">
        <v>310</v>
      </c>
      <c r="E108" s="88" t="n">
        <v>2</v>
      </c>
      <c r="F108" s="91" t="s">
        <v>312</v>
      </c>
      <c r="G108" s="92"/>
      <c r="H108" s="93"/>
      <c r="I108" s="17"/>
      <c r="J108" s="94"/>
      <c r="K108" s="17"/>
      <c r="L108" s="95"/>
      <c r="M108" s="18"/>
      <c r="N108" s="96"/>
      <c r="O108" s="96"/>
      <c r="P108" s="97"/>
      <c r="Q108" s="98"/>
      <c r="R108" s="99"/>
      <c r="S108" s="99"/>
      <c r="T108" s="95"/>
      <c r="U108" s="95"/>
      <c r="V108" s="94"/>
      <c r="W108" s="95"/>
      <c r="X108" s="95" t="n">
        <f aca="false">IF(C108="","",SUM(L108,T108,U108,W108))</f>
        <v>0</v>
      </c>
      <c r="Y108" s="100" t="str">
        <f aca="false">IF(OR(C108="",H108=""),"",X108-H108)</f>
        <v/>
      </c>
      <c r="Z108" s="88"/>
      <c r="AA108" s="88"/>
      <c r="AB108" s="17"/>
      <c r="AC108" s="17"/>
    </row>
    <row r="109" customFormat="false" ht="57.75" hidden="false" customHeight="true" outlineLevel="0" collapsed="false">
      <c r="A109" s="88" t="n">
        <f aca="false">IF(C109="","",ROW()-5)</f>
        <v>104</v>
      </c>
      <c r="B109" s="89" t="s">
        <v>237</v>
      </c>
      <c r="C109" s="88" t="s">
        <v>313</v>
      </c>
      <c r="D109" s="103" t="s">
        <v>314</v>
      </c>
      <c r="E109" s="88" t="n">
        <v>1</v>
      </c>
      <c r="F109" s="91" t="s">
        <v>315</v>
      </c>
      <c r="G109" s="92"/>
      <c r="H109" s="93"/>
      <c r="I109" s="17"/>
      <c r="J109" s="94"/>
      <c r="K109" s="17"/>
      <c r="L109" s="95"/>
      <c r="M109" s="18"/>
      <c r="N109" s="96"/>
      <c r="O109" s="96"/>
      <c r="P109" s="97"/>
      <c r="Q109" s="98"/>
      <c r="R109" s="99"/>
      <c r="S109" s="99"/>
      <c r="T109" s="95"/>
      <c r="U109" s="95"/>
      <c r="V109" s="94"/>
      <c r="W109" s="95"/>
      <c r="X109" s="95" t="n">
        <f aca="false">IF(C109="","",SUM(L109,T109,U109,W109))</f>
        <v>0</v>
      </c>
      <c r="Y109" s="100" t="str">
        <f aca="false">IF(OR(C109="",H109=""),"",X109-H109)</f>
        <v/>
      </c>
      <c r="Z109" s="88"/>
      <c r="AA109" s="88"/>
      <c r="AB109" s="17"/>
      <c r="AC109" s="17"/>
    </row>
    <row r="110" customFormat="false" ht="45" hidden="false" customHeight="true" outlineLevel="0" collapsed="false">
      <c r="A110" s="88" t="n">
        <f aca="false">IF(C110="","",ROW()-5)</f>
        <v>105</v>
      </c>
      <c r="B110" s="89" t="s">
        <v>237</v>
      </c>
      <c r="C110" s="88" t="s">
        <v>313</v>
      </c>
      <c r="D110" s="103" t="s">
        <v>314</v>
      </c>
      <c r="E110" s="88" t="n">
        <v>2</v>
      </c>
      <c r="F110" s="91" t="s">
        <v>316</v>
      </c>
      <c r="G110" s="92"/>
      <c r="H110" s="93"/>
      <c r="I110" s="17"/>
      <c r="J110" s="94"/>
      <c r="K110" s="17"/>
      <c r="L110" s="95"/>
      <c r="M110" s="18"/>
      <c r="N110" s="96"/>
      <c r="O110" s="96"/>
      <c r="P110" s="97"/>
      <c r="Q110" s="98"/>
      <c r="R110" s="99"/>
      <c r="S110" s="99"/>
      <c r="T110" s="95"/>
      <c r="U110" s="95"/>
      <c r="V110" s="94"/>
      <c r="W110" s="95"/>
      <c r="X110" s="95" t="n">
        <f aca="false">IF(C110="","",SUM(L110,T110,U110,W110))</f>
        <v>0</v>
      </c>
      <c r="Y110" s="100" t="str">
        <f aca="false">IF(OR(C110="",H110=""),"",X110-H110)</f>
        <v/>
      </c>
      <c r="Z110" s="88"/>
      <c r="AA110" s="88"/>
      <c r="AB110" s="17"/>
      <c r="AC110" s="17"/>
    </row>
    <row r="111" customFormat="false" ht="45" hidden="false" customHeight="true" outlineLevel="0" collapsed="false">
      <c r="A111" s="88" t="n">
        <f aca="false">IF(C111="","",ROW()-5)</f>
        <v>106</v>
      </c>
      <c r="B111" s="89" t="s">
        <v>237</v>
      </c>
      <c r="C111" s="88" t="s">
        <v>317</v>
      </c>
      <c r="D111" s="103" t="s">
        <v>318</v>
      </c>
      <c r="E111" s="88" t="n">
        <v>1</v>
      </c>
      <c r="F111" s="91" t="s">
        <v>319</v>
      </c>
      <c r="G111" s="92"/>
      <c r="H111" s="93"/>
      <c r="I111" s="17"/>
      <c r="J111" s="94"/>
      <c r="K111" s="17"/>
      <c r="L111" s="95"/>
      <c r="M111" s="18"/>
      <c r="N111" s="96"/>
      <c r="O111" s="96"/>
      <c r="P111" s="97"/>
      <c r="Q111" s="98"/>
      <c r="R111" s="99"/>
      <c r="S111" s="99"/>
      <c r="T111" s="95"/>
      <c r="U111" s="95"/>
      <c r="V111" s="94"/>
      <c r="W111" s="95"/>
      <c r="X111" s="95" t="n">
        <f aca="false">IF(C111="","",SUM(L111,T111,U111,W111))</f>
        <v>0</v>
      </c>
      <c r="Y111" s="100" t="str">
        <f aca="false">IF(OR(C111="",H111=""),"",X111-H111)</f>
        <v/>
      </c>
      <c r="Z111" s="88"/>
      <c r="AA111" s="88"/>
      <c r="AB111" s="17"/>
      <c r="AC111" s="17"/>
    </row>
    <row r="112" customFormat="false" ht="45" hidden="false" customHeight="true" outlineLevel="0" collapsed="false">
      <c r="A112" s="88" t="n">
        <f aca="false">IF(C112="","",ROW()-5)</f>
        <v>107</v>
      </c>
      <c r="B112" s="89" t="s">
        <v>237</v>
      </c>
      <c r="C112" s="88" t="s">
        <v>317</v>
      </c>
      <c r="D112" s="103" t="s">
        <v>318</v>
      </c>
      <c r="E112" s="88" t="n">
        <v>2</v>
      </c>
      <c r="F112" s="91" t="s">
        <v>320</v>
      </c>
      <c r="G112" s="92"/>
      <c r="H112" s="93"/>
      <c r="I112" s="17"/>
      <c r="J112" s="94"/>
      <c r="K112" s="17"/>
      <c r="L112" s="95"/>
      <c r="M112" s="18"/>
      <c r="N112" s="96"/>
      <c r="O112" s="96"/>
      <c r="P112" s="97"/>
      <c r="Q112" s="98"/>
      <c r="R112" s="99"/>
      <c r="S112" s="99"/>
      <c r="T112" s="95"/>
      <c r="U112" s="95"/>
      <c r="V112" s="94"/>
      <c r="W112" s="95"/>
      <c r="X112" s="95" t="n">
        <f aca="false">IF(C112="","",SUM(L112,T112,U112,W112))</f>
        <v>0</v>
      </c>
      <c r="Y112" s="100" t="str">
        <f aca="false">IF(OR(C112="",H112=""),"",X112-H112)</f>
        <v/>
      </c>
      <c r="Z112" s="88"/>
      <c r="AA112" s="88"/>
      <c r="AB112" s="17"/>
      <c r="AC112" s="17"/>
    </row>
    <row r="113" customFormat="false" ht="45" hidden="false" customHeight="true" outlineLevel="0" collapsed="false">
      <c r="A113" s="88" t="n">
        <f aca="false">IF(C113="","",ROW()-5)</f>
        <v>108</v>
      </c>
      <c r="B113" s="89" t="s">
        <v>237</v>
      </c>
      <c r="C113" s="88" t="s">
        <v>317</v>
      </c>
      <c r="D113" s="103" t="s">
        <v>318</v>
      </c>
      <c r="E113" s="88" t="n">
        <v>3</v>
      </c>
      <c r="F113" s="91" t="s">
        <v>321</v>
      </c>
      <c r="G113" s="92"/>
      <c r="H113" s="93"/>
      <c r="I113" s="17"/>
      <c r="J113" s="94"/>
      <c r="K113" s="17"/>
      <c r="L113" s="95"/>
      <c r="M113" s="18"/>
      <c r="N113" s="96"/>
      <c r="O113" s="96"/>
      <c r="P113" s="97"/>
      <c r="Q113" s="98"/>
      <c r="R113" s="99"/>
      <c r="S113" s="99"/>
      <c r="T113" s="95"/>
      <c r="U113" s="95"/>
      <c r="V113" s="94"/>
      <c r="W113" s="95"/>
      <c r="X113" s="95" t="n">
        <f aca="false">IF(C113="","",SUM(L113,T113,U113,W113))</f>
        <v>0</v>
      </c>
      <c r="Y113" s="100" t="str">
        <f aca="false">IF(OR(C113="",H113=""),"",X113-H113)</f>
        <v/>
      </c>
      <c r="Z113" s="88"/>
      <c r="AA113" s="88"/>
      <c r="AB113" s="17"/>
      <c r="AC113" s="17"/>
    </row>
    <row r="114" customFormat="false" ht="45" hidden="false" customHeight="true" outlineLevel="0" collapsed="false">
      <c r="A114" s="88" t="n">
        <f aca="false">IF(C114="","",ROW()-5)</f>
        <v>109</v>
      </c>
      <c r="B114" s="89" t="s">
        <v>237</v>
      </c>
      <c r="C114" s="88" t="s">
        <v>322</v>
      </c>
      <c r="D114" s="103" t="s">
        <v>323</v>
      </c>
      <c r="E114" s="88" t="n">
        <v>1</v>
      </c>
      <c r="F114" s="91" t="s">
        <v>324</v>
      </c>
      <c r="G114" s="92"/>
      <c r="H114" s="93"/>
      <c r="I114" s="17"/>
      <c r="J114" s="94"/>
      <c r="K114" s="17"/>
      <c r="L114" s="95"/>
      <c r="M114" s="18"/>
      <c r="N114" s="96"/>
      <c r="O114" s="96"/>
      <c r="P114" s="97"/>
      <c r="Q114" s="98"/>
      <c r="R114" s="99"/>
      <c r="S114" s="99"/>
      <c r="T114" s="95"/>
      <c r="U114" s="95"/>
      <c r="V114" s="94"/>
      <c r="W114" s="95"/>
      <c r="X114" s="95" t="n">
        <f aca="false">IF(C114="","",SUM(L114,T114,U114,W114))</f>
        <v>0</v>
      </c>
      <c r="Y114" s="100" t="str">
        <f aca="false">IF(OR(C114="",H114=""),"",X114-H114)</f>
        <v/>
      </c>
      <c r="Z114" s="88"/>
      <c r="AA114" s="88"/>
      <c r="AB114" s="17"/>
      <c r="AC114" s="17"/>
    </row>
    <row r="115" customFormat="false" ht="45" hidden="false" customHeight="true" outlineLevel="0" collapsed="false">
      <c r="A115" s="88" t="n">
        <f aca="false">IF(C115="","",ROW()-5)</f>
        <v>110</v>
      </c>
      <c r="B115" s="89" t="s">
        <v>237</v>
      </c>
      <c r="C115" s="88" t="s">
        <v>322</v>
      </c>
      <c r="D115" s="103" t="s">
        <v>323</v>
      </c>
      <c r="E115" s="88" t="n">
        <v>2</v>
      </c>
      <c r="F115" s="101" t="s">
        <v>325</v>
      </c>
      <c r="G115" s="92"/>
      <c r="H115" s="93"/>
      <c r="I115" s="17"/>
      <c r="J115" s="94"/>
      <c r="K115" s="17"/>
      <c r="L115" s="95"/>
      <c r="M115" s="18"/>
      <c r="N115" s="96"/>
      <c r="O115" s="96"/>
      <c r="P115" s="97"/>
      <c r="Q115" s="98"/>
      <c r="R115" s="99"/>
      <c r="S115" s="99"/>
      <c r="T115" s="95"/>
      <c r="U115" s="95"/>
      <c r="V115" s="94"/>
      <c r="W115" s="95"/>
      <c r="X115" s="95" t="n">
        <f aca="false">IF(C115="","",SUM(L115,T115,U115,W115))</f>
        <v>0</v>
      </c>
      <c r="Y115" s="100" t="str">
        <f aca="false">IF(OR(C115="",H115=""),"",X115-H115)</f>
        <v/>
      </c>
      <c r="Z115" s="88"/>
      <c r="AA115" s="88"/>
      <c r="AB115" s="17"/>
      <c r="AC115" s="17"/>
    </row>
    <row r="116" customFormat="false" ht="57.75" hidden="false" customHeight="true" outlineLevel="0" collapsed="false">
      <c r="A116" s="88" t="n">
        <f aca="false">IF(C116="","",ROW()-5)</f>
        <v>111</v>
      </c>
      <c r="B116" s="89" t="s">
        <v>237</v>
      </c>
      <c r="C116" s="88" t="s">
        <v>322</v>
      </c>
      <c r="D116" s="103" t="s">
        <v>323</v>
      </c>
      <c r="E116" s="88" t="n">
        <v>3</v>
      </c>
      <c r="F116" s="91" t="s">
        <v>326</v>
      </c>
      <c r="G116" s="92"/>
      <c r="H116" s="93"/>
      <c r="I116" s="17"/>
      <c r="J116" s="94"/>
      <c r="K116" s="17"/>
      <c r="L116" s="95"/>
      <c r="M116" s="18"/>
      <c r="N116" s="96"/>
      <c r="O116" s="96"/>
      <c r="P116" s="97"/>
      <c r="Q116" s="98"/>
      <c r="R116" s="99"/>
      <c r="S116" s="99"/>
      <c r="T116" s="95"/>
      <c r="U116" s="95"/>
      <c r="V116" s="94"/>
      <c r="W116" s="95"/>
      <c r="X116" s="95" t="n">
        <f aca="false">IF(C116="","",SUM(L116,T116,U116,W116))</f>
        <v>0</v>
      </c>
      <c r="Y116" s="100" t="str">
        <f aca="false">IF(OR(C116="",H116=""),"",X116-H116)</f>
        <v/>
      </c>
      <c r="Z116" s="88"/>
      <c r="AA116" s="88"/>
      <c r="AB116" s="17"/>
      <c r="AC116" s="17"/>
    </row>
    <row r="117" customFormat="false" ht="45" hidden="false" customHeight="true" outlineLevel="0" collapsed="false">
      <c r="A117" s="88" t="n">
        <f aca="false">IF(C117="","",ROW()-5)</f>
        <v>112</v>
      </c>
      <c r="B117" s="89" t="s">
        <v>237</v>
      </c>
      <c r="C117" s="88" t="s">
        <v>322</v>
      </c>
      <c r="D117" s="103" t="s">
        <v>323</v>
      </c>
      <c r="E117" s="88" t="n">
        <v>4</v>
      </c>
      <c r="F117" s="91" t="s">
        <v>327</v>
      </c>
      <c r="G117" s="92"/>
      <c r="H117" s="93"/>
      <c r="I117" s="17"/>
      <c r="J117" s="94"/>
      <c r="K117" s="17"/>
      <c r="L117" s="95"/>
      <c r="M117" s="18"/>
      <c r="N117" s="96"/>
      <c r="O117" s="96"/>
      <c r="P117" s="97"/>
      <c r="Q117" s="98"/>
      <c r="R117" s="99"/>
      <c r="S117" s="99"/>
      <c r="T117" s="95"/>
      <c r="U117" s="95"/>
      <c r="V117" s="94"/>
      <c r="W117" s="95"/>
      <c r="X117" s="95" t="n">
        <f aca="false">IF(C117="","",SUM(L117,T117,U117,W117))</f>
        <v>0</v>
      </c>
      <c r="Y117" s="100" t="str">
        <f aca="false">IF(OR(C117="",H117=""),"",X117-H117)</f>
        <v/>
      </c>
      <c r="Z117" s="88"/>
      <c r="AA117" s="88"/>
      <c r="AB117" s="17"/>
      <c r="AC117" s="17"/>
    </row>
    <row r="118" customFormat="false" ht="45" hidden="false" customHeight="true" outlineLevel="0" collapsed="false">
      <c r="A118" s="88" t="n">
        <f aca="false">IF(C118="","",ROW()-5)</f>
        <v>113</v>
      </c>
      <c r="B118" s="89" t="s">
        <v>237</v>
      </c>
      <c r="C118" s="88" t="s">
        <v>322</v>
      </c>
      <c r="D118" s="103" t="s">
        <v>323</v>
      </c>
      <c r="E118" s="88" t="n">
        <v>5</v>
      </c>
      <c r="F118" s="91" t="s">
        <v>328</v>
      </c>
      <c r="G118" s="92"/>
      <c r="H118" s="93"/>
      <c r="I118" s="17"/>
      <c r="J118" s="94"/>
      <c r="K118" s="17"/>
      <c r="L118" s="95"/>
      <c r="M118" s="18"/>
      <c r="N118" s="96"/>
      <c r="O118" s="96"/>
      <c r="P118" s="97"/>
      <c r="Q118" s="98"/>
      <c r="R118" s="99"/>
      <c r="S118" s="99"/>
      <c r="T118" s="95"/>
      <c r="U118" s="95"/>
      <c r="V118" s="94"/>
      <c r="W118" s="95"/>
      <c r="X118" s="95" t="n">
        <f aca="false">IF(C118="","",SUM(L118,T118,U118,W118))</f>
        <v>0</v>
      </c>
      <c r="Y118" s="100" t="str">
        <f aca="false">IF(OR(C118="",H118=""),"",X118-H118)</f>
        <v/>
      </c>
      <c r="Z118" s="88"/>
      <c r="AA118" s="88"/>
      <c r="AB118" s="17"/>
      <c r="AC118" s="17"/>
    </row>
    <row r="119" customFormat="false" ht="57.75" hidden="false" customHeight="true" outlineLevel="0" collapsed="false">
      <c r="A119" s="88" t="n">
        <f aca="false">IF(C119="","",ROW()-5)</f>
        <v>114</v>
      </c>
      <c r="B119" s="89" t="s">
        <v>237</v>
      </c>
      <c r="C119" s="88" t="s">
        <v>329</v>
      </c>
      <c r="D119" s="103" t="s">
        <v>330</v>
      </c>
      <c r="E119" s="88" t="n">
        <v>1</v>
      </c>
      <c r="F119" s="91" t="s">
        <v>331</v>
      </c>
      <c r="G119" s="92"/>
      <c r="H119" s="93"/>
      <c r="I119" s="17"/>
      <c r="J119" s="94"/>
      <c r="K119" s="17"/>
      <c r="L119" s="95"/>
      <c r="M119" s="18"/>
      <c r="N119" s="96"/>
      <c r="O119" s="96"/>
      <c r="P119" s="97"/>
      <c r="Q119" s="98"/>
      <c r="R119" s="99"/>
      <c r="S119" s="99"/>
      <c r="T119" s="95"/>
      <c r="U119" s="95"/>
      <c r="V119" s="94"/>
      <c r="W119" s="95"/>
      <c r="X119" s="95" t="n">
        <f aca="false">IF(C119="","",SUM(L119,T119,U119,W119))</f>
        <v>0</v>
      </c>
      <c r="Y119" s="100" t="str">
        <f aca="false">IF(OR(C119="",H119=""),"",X119-H119)</f>
        <v/>
      </c>
      <c r="Z119" s="88"/>
      <c r="AA119" s="88"/>
      <c r="AB119" s="17"/>
      <c r="AC119" s="17"/>
    </row>
    <row r="120" customFormat="false" ht="57.75" hidden="false" customHeight="true" outlineLevel="0" collapsed="false">
      <c r="A120" s="88" t="n">
        <f aca="false">IF(C120="","",ROW()-5)</f>
        <v>115</v>
      </c>
      <c r="B120" s="89" t="s">
        <v>237</v>
      </c>
      <c r="C120" s="88" t="s">
        <v>329</v>
      </c>
      <c r="D120" s="103" t="s">
        <v>330</v>
      </c>
      <c r="E120" s="88" t="n">
        <v>2</v>
      </c>
      <c r="F120" s="91" t="s">
        <v>332</v>
      </c>
      <c r="G120" s="92"/>
      <c r="H120" s="93"/>
      <c r="I120" s="17"/>
      <c r="J120" s="94"/>
      <c r="K120" s="17"/>
      <c r="L120" s="95"/>
      <c r="M120" s="18"/>
      <c r="N120" s="96"/>
      <c r="O120" s="96"/>
      <c r="P120" s="97"/>
      <c r="Q120" s="98"/>
      <c r="R120" s="99"/>
      <c r="S120" s="99"/>
      <c r="T120" s="95"/>
      <c r="U120" s="95"/>
      <c r="V120" s="94"/>
      <c r="W120" s="95"/>
      <c r="X120" s="95" t="n">
        <f aca="false">IF(C120="","",SUM(L120,T120,U120,W120))</f>
        <v>0</v>
      </c>
      <c r="Y120" s="100" t="str">
        <f aca="false">IF(OR(C120="",H120=""),"",X120-H120)</f>
        <v/>
      </c>
      <c r="Z120" s="88"/>
      <c r="AA120" s="88"/>
      <c r="AB120" s="17"/>
      <c r="AC120" s="17"/>
    </row>
    <row r="121" customFormat="false" ht="45" hidden="false" customHeight="true" outlineLevel="0" collapsed="false">
      <c r="A121" s="88" t="n">
        <f aca="false">IF(C121="","",ROW()-5)</f>
        <v>116</v>
      </c>
      <c r="B121" s="89" t="s">
        <v>237</v>
      </c>
      <c r="C121" s="88" t="s">
        <v>329</v>
      </c>
      <c r="D121" s="103" t="s">
        <v>330</v>
      </c>
      <c r="E121" s="88" t="n">
        <v>3</v>
      </c>
      <c r="F121" s="91" t="s">
        <v>333</v>
      </c>
      <c r="G121" s="92"/>
      <c r="H121" s="93"/>
      <c r="I121" s="17"/>
      <c r="J121" s="94"/>
      <c r="K121" s="17"/>
      <c r="L121" s="95"/>
      <c r="M121" s="18"/>
      <c r="N121" s="96"/>
      <c r="O121" s="96"/>
      <c r="P121" s="97"/>
      <c r="Q121" s="98"/>
      <c r="R121" s="99"/>
      <c r="S121" s="99"/>
      <c r="T121" s="95"/>
      <c r="U121" s="95"/>
      <c r="V121" s="94"/>
      <c r="W121" s="95"/>
      <c r="X121" s="95" t="n">
        <f aca="false">IF(C121="","",SUM(L121,T121,U121,W121))</f>
        <v>0</v>
      </c>
      <c r="Y121" s="100" t="str">
        <f aca="false">IF(OR(C121="",H121=""),"",X121-H121)</f>
        <v/>
      </c>
      <c r="Z121" s="88"/>
      <c r="AA121" s="88"/>
      <c r="AB121" s="17"/>
      <c r="AC121" s="17"/>
    </row>
    <row r="122" customFormat="false" ht="57.75" hidden="false" customHeight="true" outlineLevel="0" collapsed="false">
      <c r="A122" s="88" t="n">
        <f aca="false">IF(C122="","",ROW()-5)</f>
        <v>117</v>
      </c>
      <c r="B122" s="89" t="s">
        <v>334</v>
      </c>
      <c r="C122" s="88" t="s">
        <v>335</v>
      </c>
      <c r="D122" s="90" t="s">
        <v>336</v>
      </c>
      <c r="E122" s="88" t="n">
        <v>1</v>
      </c>
      <c r="F122" s="91" t="s">
        <v>337</v>
      </c>
      <c r="G122" s="92"/>
      <c r="H122" s="93"/>
      <c r="I122" s="17"/>
      <c r="J122" s="94"/>
      <c r="K122" s="17"/>
      <c r="L122" s="95"/>
      <c r="M122" s="18"/>
      <c r="N122" s="96"/>
      <c r="O122" s="96"/>
      <c r="P122" s="97"/>
      <c r="Q122" s="98"/>
      <c r="R122" s="99"/>
      <c r="S122" s="99"/>
      <c r="T122" s="95"/>
      <c r="U122" s="95"/>
      <c r="V122" s="94"/>
      <c r="W122" s="95"/>
      <c r="X122" s="95" t="n">
        <f aca="false">IF(C122="","",SUM(L122,T122,U122,W122))</f>
        <v>0</v>
      </c>
      <c r="Y122" s="100" t="str">
        <f aca="false">IF(OR(C122="",H122=""),"",X122-H122)</f>
        <v/>
      </c>
      <c r="Z122" s="88"/>
      <c r="AA122" s="88"/>
      <c r="AB122" s="17"/>
      <c r="AC122" s="17"/>
    </row>
    <row r="123" customFormat="false" ht="57.75" hidden="false" customHeight="true" outlineLevel="0" collapsed="false">
      <c r="A123" s="88" t="n">
        <f aca="false">IF(C123="","",ROW()-5)</f>
        <v>118</v>
      </c>
      <c r="B123" s="89" t="s">
        <v>334</v>
      </c>
      <c r="C123" s="88" t="s">
        <v>335</v>
      </c>
      <c r="D123" s="90" t="s">
        <v>336</v>
      </c>
      <c r="E123" s="88" t="n">
        <v>2</v>
      </c>
      <c r="F123" s="91" t="s">
        <v>338</v>
      </c>
      <c r="G123" s="92"/>
      <c r="H123" s="93"/>
      <c r="I123" s="17"/>
      <c r="J123" s="94"/>
      <c r="K123" s="17"/>
      <c r="L123" s="95"/>
      <c r="M123" s="18"/>
      <c r="N123" s="96"/>
      <c r="O123" s="96"/>
      <c r="P123" s="97"/>
      <c r="Q123" s="98"/>
      <c r="R123" s="99"/>
      <c r="S123" s="99"/>
      <c r="T123" s="95"/>
      <c r="U123" s="95"/>
      <c r="V123" s="94"/>
      <c r="W123" s="95"/>
      <c r="X123" s="95" t="n">
        <f aca="false">IF(C123="","",SUM(L123,T123,U123,W123))</f>
        <v>0</v>
      </c>
      <c r="Y123" s="100" t="str">
        <f aca="false">IF(OR(C123="",H123=""),"",X123-H123)</f>
        <v/>
      </c>
      <c r="Z123" s="88"/>
      <c r="AA123" s="88"/>
      <c r="AB123" s="17"/>
      <c r="AC123" s="17"/>
    </row>
    <row r="124" s="105" customFormat="true" ht="57.75" hidden="false" customHeight="true" outlineLevel="0" collapsed="false">
      <c r="A124" s="88" t="n">
        <f aca="false">IF(C124="","",ROW()-5)</f>
        <v>119</v>
      </c>
      <c r="B124" s="89" t="s">
        <v>334</v>
      </c>
      <c r="C124" s="88" t="s">
        <v>335</v>
      </c>
      <c r="D124" s="90" t="s">
        <v>336</v>
      </c>
      <c r="E124" s="88" t="n">
        <v>3</v>
      </c>
      <c r="F124" s="101" t="s">
        <v>339</v>
      </c>
      <c r="G124" s="92"/>
      <c r="H124" s="93"/>
      <c r="I124" s="17"/>
      <c r="J124" s="94"/>
      <c r="K124" s="17"/>
      <c r="L124" s="95"/>
      <c r="M124" s="18"/>
      <c r="N124" s="96"/>
      <c r="O124" s="96"/>
      <c r="P124" s="97"/>
      <c r="Q124" s="98"/>
      <c r="R124" s="99"/>
      <c r="S124" s="99"/>
      <c r="T124" s="95"/>
      <c r="U124" s="95"/>
      <c r="V124" s="94"/>
      <c r="W124" s="95"/>
      <c r="X124" s="95" t="n">
        <f aca="false">IF(C124="","",SUM(L124,T124,U124,W124))</f>
        <v>0</v>
      </c>
      <c r="Y124" s="100" t="str">
        <f aca="false">IF(OR(C124="",H124=""),"",X124-H124)</f>
        <v/>
      </c>
      <c r="Z124" s="88"/>
      <c r="AA124" s="88"/>
      <c r="AB124" s="17"/>
      <c r="AC124" s="17"/>
    </row>
    <row r="125" s="105" customFormat="true" ht="45" hidden="false" customHeight="true" outlineLevel="0" collapsed="false">
      <c r="A125" s="88" t="n">
        <f aca="false">IF(C125="","",ROW()-5)</f>
        <v>120</v>
      </c>
      <c r="B125" s="89" t="s">
        <v>334</v>
      </c>
      <c r="C125" s="88" t="s">
        <v>335</v>
      </c>
      <c r="D125" s="90" t="s">
        <v>336</v>
      </c>
      <c r="E125" s="88" t="n">
        <v>4</v>
      </c>
      <c r="F125" s="91" t="s">
        <v>340</v>
      </c>
      <c r="G125" s="92"/>
      <c r="H125" s="93"/>
      <c r="I125" s="17"/>
      <c r="J125" s="94"/>
      <c r="K125" s="17"/>
      <c r="L125" s="95"/>
      <c r="M125" s="18"/>
      <c r="N125" s="96"/>
      <c r="O125" s="96"/>
      <c r="P125" s="97"/>
      <c r="Q125" s="98"/>
      <c r="R125" s="99"/>
      <c r="S125" s="99"/>
      <c r="T125" s="95"/>
      <c r="U125" s="95"/>
      <c r="V125" s="94"/>
      <c r="W125" s="95"/>
      <c r="X125" s="95" t="n">
        <f aca="false">IF(C125="","",SUM(L125,T125,U125,W125))</f>
        <v>0</v>
      </c>
      <c r="Y125" s="100" t="str">
        <f aca="false">IF(OR(C125="",H125=""),"",X125-H125)</f>
        <v/>
      </c>
      <c r="Z125" s="88"/>
      <c r="AA125" s="88"/>
      <c r="AB125" s="17"/>
      <c r="AC125" s="17"/>
    </row>
    <row r="126" s="105" customFormat="true" ht="45" hidden="false" customHeight="true" outlineLevel="0" collapsed="false">
      <c r="A126" s="88" t="n">
        <f aca="false">IF(C126="","",ROW()-5)</f>
        <v>121</v>
      </c>
      <c r="B126" s="89" t="s">
        <v>334</v>
      </c>
      <c r="C126" s="88" t="s">
        <v>341</v>
      </c>
      <c r="D126" s="90" t="s">
        <v>342</v>
      </c>
      <c r="E126" s="88" t="n">
        <v>1</v>
      </c>
      <c r="F126" s="91" t="s">
        <v>343</v>
      </c>
      <c r="G126" s="92"/>
      <c r="H126" s="93"/>
      <c r="I126" s="17"/>
      <c r="J126" s="94"/>
      <c r="K126" s="17"/>
      <c r="L126" s="95"/>
      <c r="M126" s="18"/>
      <c r="N126" s="96"/>
      <c r="O126" s="96"/>
      <c r="P126" s="97"/>
      <c r="Q126" s="98"/>
      <c r="R126" s="99"/>
      <c r="S126" s="99"/>
      <c r="T126" s="95"/>
      <c r="U126" s="95"/>
      <c r="V126" s="94"/>
      <c r="W126" s="95"/>
      <c r="X126" s="95" t="n">
        <f aca="false">IF(C126="","",SUM(L126,T126,U126,W126))</f>
        <v>0</v>
      </c>
      <c r="Y126" s="100" t="str">
        <f aca="false">IF(OR(C126="",H126=""),"",X126-H126)</f>
        <v/>
      </c>
      <c r="Z126" s="88"/>
      <c r="AA126" s="88"/>
      <c r="AB126" s="17"/>
      <c r="AC126" s="17"/>
    </row>
    <row r="127" s="105" customFormat="true" ht="57.75" hidden="false" customHeight="true" outlineLevel="0" collapsed="false">
      <c r="A127" s="88" t="n">
        <f aca="false">IF(C127="","",ROW()-5)</f>
        <v>122</v>
      </c>
      <c r="B127" s="89" t="s">
        <v>334</v>
      </c>
      <c r="C127" s="88" t="s">
        <v>341</v>
      </c>
      <c r="D127" s="90" t="s">
        <v>342</v>
      </c>
      <c r="E127" s="88" t="n">
        <v>2</v>
      </c>
      <c r="F127" s="91" t="s">
        <v>344</v>
      </c>
      <c r="G127" s="92"/>
      <c r="H127" s="93"/>
      <c r="I127" s="17"/>
      <c r="J127" s="94"/>
      <c r="K127" s="17"/>
      <c r="L127" s="95"/>
      <c r="M127" s="18"/>
      <c r="N127" s="96"/>
      <c r="O127" s="96"/>
      <c r="P127" s="97"/>
      <c r="Q127" s="98"/>
      <c r="R127" s="99"/>
      <c r="S127" s="99"/>
      <c r="T127" s="95"/>
      <c r="U127" s="95"/>
      <c r="V127" s="94"/>
      <c r="W127" s="95"/>
      <c r="X127" s="95" t="n">
        <f aca="false">IF(C127="","",SUM(L127,T127,U127,W127))</f>
        <v>0</v>
      </c>
      <c r="Y127" s="100" t="str">
        <f aca="false">IF(OR(C127="",H127=""),"",X127-H127)</f>
        <v/>
      </c>
      <c r="Z127" s="88"/>
      <c r="AA127" s="88"/>
      <c r="AB127" s="17"/>
      <c r="AC127" s="17"/>
    </row>
    <row r="128" s="105" customFormat="true" ht="45" hidden="false" customHeight="true" outlineLevel="0" collapsed="false">
      <c r="A128" s="88" t="n">
        <f aca="false">IF(C128="","",ROW()-5)</f>
        <v>123</v>
      </c>
      <c r="B128" s="89" t="s">
        <v>334</v>
      </c>
      <c r="C128" s="88" t="s">
        <v>341</v>
      </c>
      <c r="D128" s="90" t="s">
        <v>342</v>
      </c>
      <c r="E128" s="88" t="n">
        <v>3</v>
      </c>
      <c r="F128" s="101" t="s">
        <v>345</v>
      </c>
      <c r="G128" s="92"/>
      <c r="H128" s="93"/>
      <c r="I128" s="17"/>
      <c r="J128" s="94"/>
      <c r="K128" s="17"/>
      <c r="L128" s="95"/>
      <c r="M128" s="18"/>
      <c r="N128" s="96"/>
      <c r="O128" s="96"/>
      <c r="P128" s="97"/>
      <c r="Q128" s="98"/>
      <c r="R128" s="99"/>
      <c r="S128" s="99"/>
      <c r="T128" s="95"/>
      <c r="U128" s="95"/>
      <c r="V128" s="94"/>
      <c r="W128" s="95"/>
      <c r="X128" s="95" t="n">
        <f aca="false">IF(C128="","",SUM(L128,T128,U128,W128))</f>
        <v>0</v>
      </c>
      <c r="Y128" s="100" t="str">
        <f aca="false">IF(OR(C128="",H128=""),"",X128-H128)</f>
        <v/>
      </c>
      <c r="Z128" s="88"/>
      <c r="AA128" s="88"/>
      <c r="AB128" s="17"/>
      <c r="AC128" s="17"/>
    </row>
    <row r="129" s="105" customFormat="true" ht="57.75" hidden="false" customHeight="true" outlineLevel="0" collapsed="false">
      <c r="A129" s="88" t="n">
        <f aca="false">IF(C129="","",ROW()-5)</f>
        <v>124</v>
      </c>
      <c r="B129" s="89" t="s">
        <v>334</v>
      </c>
      <c r="C129" s="88" t="s">
        <v>341</v>
      </c>
      <c r="D129" s="90" t="s">
        <v>342</v>
      </c>
      <c r="E129" s="88" t="n">
        <v>4</v>
      </c>
      <c r="F129" s="101" t="s">
        <v>346</v>
      </c>
      <c r="G129" s="92"/>
      <c r="H129" s="93"/>
      <c r="I129" s="17"/>
      <c r="J129" s="94"/>
      <c r="K129" s="17"/>
      <c r="L129" s="95"/>
      <c r="M129" s="18"/>
      <c r="N129" s="96"/>
      <c r="O129" s="96"/>
      <c r="P129" s="97"/>
      <c r="Q129" s="98"/>
      <c r="R129" s="99"/>
      <c r="S129" s="99"/>
      <c r="T129" s="95"/>
      <c r="U129" s="95"/>
      <c r="V129" s="94"/>
      <c r="W129" s="95"/>
      <c r="X129" s="95" t="n">
        <f aca="false">IF(C129="","",SUM(L129,T129,U129,W129))</f>
        <v>0</v>
      </c>
      <c r="Y129" s="100" t="str">
        <f aca="false">IF(OR(C129="",H129=""),"",X129-H129)</f>
        <v/>
      </c>
      <c r="Z129" s="88"/>
      <c r="AA129" s="88"/>
      <c r="AB129" s="17"/>
      <c r="AC129" s="17"/>
    </row>
    <row r="130" s="105" customFormat="true" ht="45" hidden="false" customHeight="true" outlineLevel="0" collapsed="false">
      <c r="A130" s="88" t="n">
        <f aca="false">IF(C130="","",ROW()-5)</f>
        <v>125</v>
      </c>
      <c r="B130" s="89" t="s">
        <v>334</v>
      </c>
      <c r="C130" s="88" t="s">
        <v>347</v>
      </c>
      <c r="D130" s="90" t="s">
        <v>348</v>
      </c>
      <c r="E130" s="88" t="n">
        <v>1</v>
      </c>
      <c r="F130" s="101" t="s">
        <v>349</v>
      </c>
      <c r="G130" s="92"/>
      <c r="H130" s="93"/>
      <c r="I130" s="17"/>
      <c r="J130" s="94"/>
      <c r="K130" s="17"/>
      <c r="L130" s="95"/>
      <c r="M130" s="18"/>
      <c r="N130" s="96"/>
      <c r="O130" s="96"/>
      <c r="P130" s="97"/>
      <c r="Q130" s="98"/>
      <c r="R130" s="99"/>
      <c r="S130" s="99"/>
      <c r="T130" s="95"/>
      <c r="U130" s="95"/>
      <c r="V130" s="94"/>
      <c r="W130" s="95"/>
      <c r="X130" s="95" t="n">
        <f aca="false">IF(C130="","",SUM(L130,T130,U130,W130))</f>
        <v>0</v>
      </c>
      <c r="Y130" s="100" t="str">
        <f aca="false">IF(OR(C130="",H130=""),"",X130-H130)</f>
        <v/>
      </c>
      <c r="Z130" s="88"/>
      <c r="AA130" s="88"/>
      <c r="AB130" s="17"/>
      <c r="AC130" s="17"/>
    </row>
    <row r="131" customFormat="false" ht="57.75" hidden="false" customHeight="true" outlineLevel="0" collapsed="false">
      <c r="A131" s="88" t="n">
        <f aca="false">IF(C131="","",ROW()-5)</f>
        <v>126</v>
      </c>
      <c r="B131" s="89" t="s">
        <v>334</v>
      </c>
      <c r="C131" s="88" t="s">
        <v>347</v>
      </c>
      <c r="D131" s="90" t="s">
        <v>348</v>
      </c>
      <c r="E131" s="88" t="n">
        <v>2</v>
      </c>
      <c r="F131" s="91" t="s">
        <v>350</v>
      </c>
      <c r="G131" s="92"/>
      <c r="H131" s="93"/>
      <c r="I131" s="17"/>
      <c r="J131" s="94"/>
      <c r="K131" s="17"/>
      <c r="L131" s="95"/>
      <c r="M131" s="18"/>
      <c r="N131" s="96"/>
      <c r="O131" s="96"/>
      <c r="P131" s="97"/>
      <c r="Q131" s="98"/>
      <c r="R131" s="99"/>
      <c r="S131" s="99"/>
      <c r="T131" s="95"/>
      <c r="U131" s="95"/>
      <c r="V131" s="94"/>
      <c r="W131" s="95"/>
      <c r="X131" s="95" t="n">
        <f aca="false">IF(C131="","",SUM(L131,T131,U131,W131))</f>
        <v>0</v>
      </c>
      <c r="Y131" s="100" t="str">
        <f aca="false">IF(OR(C131="",H131=""),"",X131-H131)</f>
        <v/>
      </c>
      <c r="Z131" s="88"/>
      <c r="AA131" s="88"/>
      <c r="AB131" s="17"/>
      <c r="AC131" s="17"/>
    </row>
    <row r="132" customFormat="false" ht="45" hidden="false" customHeight="true" outlineLevel="0" collapsed="false">
      <c r="A132" s="88" t="n">
        <f aca="false">IF(C132="","",ROW()-5)</f>
        <v>127</v>
      </c>
      <c r="B132" s="89" t="s">
        <v>334</v>
      </c>
      <c r="C132" s="88" t="s">
        <v>347</v>
      </c>
      <c r="D132" s="90" t="s">
        <v>348</v>
      </c>
      <c r="E132" s="88" t="n">
        <v>3</v>
      </c>
      <c r="F132" s="91" t="s">
        <v>351</v>
      </c>
      <c r="G132" s="92"/>
      <c r="H132" s="93"/>
      <c r="I132" s="17"/>
      <c r="J132" s="94"/>
      <c r="K132" s="17"/>
      <c r="L132" s="95"/>
      <c r="M132" s="18"/>
      <c r="N132" s="96"/>
      <c r="O132" s="96"/>
      <c r="P132" s="97"/>
      <c r="Q132" s="98"/>
      <c r="R132" s="99"/>
      <c r="S132" s="99"/>
      <c r="T132" s="95"/>
      <c r="U132" s="95"/>
      <c r="V132" s="94"/>
      <c r="W132" s="95"/>
      <c r="X132" s="95" t="n">
        <f aca="false">IF(C132="","",SUM(L132,T132,U132,W132))</f>
        <v>0</v>
      </c>
      <c r="Y132" s="100" t="str">
        <f aca="false">IF(OR(C132="",H132=""),"",X132-H132)</f>
        <v/>
      </c>
      <c r="Z132" s="88"/>
      <c r="AA132" s="88"/>
      <c r="AB132" s="17"/>
      <c r="AC132" s="17"/>
    </row>
    <row r="133" customFormat="false" ht="45" hidden="false" customHeight="true" outlineLevel="0" collapsed="false">
      <c r="A133" s="88" t="n">
        <f aca="false">IF(C133="","",ROW()-5)</f>
        <v>128</v>
      </c>
      <c r="B133" s="89" t="s">
        <v>334</v>
      </c>
      <c r="C133" s="88" t="s">
        <v>347</v>
      </c>
      <c r="D133" s="90" t="s">
        <v>348</v>
      </c>
      <c r="E133" s="88" t="n">
        <v>4</v>
      </c>
      <c r="F133" s="91" t="s">
        <v>352</v>
      </c>
      <c r="G133" s="92"/>
      <c r="H133" s="93"/>
      <c r="I133" s="17"/>
      <c r="J133" s="94"/>
      <c r="K133" s="17"/>
      <c r="L133" s="95"/>
      <c r="M133" s="18"/>
      <c r="N133" s="96"/>
      <c r="O133" s="96"/>
      <c r="P133" s="97"/>
      <c r="Q133" s="98"/>
      <c r="R133" s="99"/>
      <c r="S133" s="99"/>
      <c r="T133" s="95"/>
      <c r="U133" s="95"/>
      <c r="V133" s="94"/>
      <c r="W133" s="95"/>
      <c r="X133" s="95" t="n">
        <f aca="false">IF(C133="","",SUM(L133,T133,U133,W133))</f>
        <v>0</v>
      </c>
      <c r="Y133" s="100" t="str">
        <f aca="false">IF(OR(C133="",H133=""),"",X133-H133)</f>
        <v/>
      </c>
      <c r="Z133" s="88"/>
      <c r="AA133" s="88"/>
      <c r="AB133" s="17"/>
      <c r="AC133" s="17"/>
    </row>
    <row r="134" customFormat="false" ht="57.75" hidden="false" customHeight="true" outlineLevel="0" collapsed="false">
      <c r="A134" s="88" t="n">
        <f aca="false">IF(C134="","",ROW()-5)</f>
        <v>129</v>
      </c>
      <c r="B134" s="89" t="s">
        <v>334</v>
      </c>
      <c r="C134" s="88" t="s">
        <v>353</v>
      </c>
      <c r="D134" s="103" t="s">
        <v>354</v>
      </c>
      <c r="E134" s="88" t="n">
        <v>1</v>
      </c>
      <c r="F134" s="91" t="s">
        <v>355</v>
      </c>
      <c r="G134" s="92"/>
      <c r="H134" s="93"/>
      <c r="I134" s="17"/>
      <c r="J134" s="94"/>
      <c r="K134" s="17"/>
      <c r="L134" s="95"/>
      <c r="M134" s="18"/>
      <c r="N134" s="96"/>
      <c r="O134" s="96"/>
      <c r="P134" s="97"/>
      <c r="Q134" s="98"/>
      <c r="R134" s="99"/>
      <c r="S134" s="99"/>
      <c r="T134" s="95"/>
      <c r="U134" s="95"/>
      <c r="V134" s="94"/>
      <c r="W134" s="95"/>
      <c r="X134" s="95" t="n">
        <f aca="false">IF(C134="","",SUM(L134,T134,U134,W134))</f>
        <v>0</v>
      </c>
      <c r="Y134" s="100" t="str">
        <f aca="false">IF(OR(C134="",H134=""),"",X134-H134)</f>
        <v/>
      </c>
      <c r="Z134" s="88"/>
      <c r="AA134" s="88"/>
      <c r="AB134" s="17"/>
      <c r="AC134" s="17"/>
    </row>
    <row r="135" customFormat="false" ht="70.5" hidden="false" customHeight="true" outlineLevel="0" collapsed="false">
      <c r="A135" s="88" t="n">
        <f aca="false">IF(C135="","",ROW()-5)</f>
        <v>130</v>
      </c>
      <c r="B135" s="89" t="s">
        <v>334</v>
      </c>
      <c r="C135" s="88" t="s">
        <v>353</v>
      </c>
      <c r="D135" s="103" t="s">
        <v>354</v>
      </c>
      <c r="E135" s="88" t="n">
        <v>2</v>
      </c>
      <c r="F135" s="91" t="s">
        <v>356</v>
      </c>
      <c r="G135" s="92"/>
      <c r="H135" s="93"/>
      <c r="I135" s="17"/>
      <c r="J135" s="94"/>
      <c r="K135" s="17"/>
      <c r="L135" s="95"/>
      <c r="M135" s="18"/>
      <c r="N135" s="96"/>
      <c r="O135" s="96"/>
      <c r="P135" s="97"/>
      <c r="Q135" s="98"/>
      <c r="R135" s="99"/>
      <c r="S135" s="99"/>
      <c r="T135" s="95"/>
      <c r="U135" s="95"/>
      <c r="V135" s="94"/>
      <c r="W135" s="95"/>
      <c r="X135" s="95" t="n">
        <f aca="false">IF(C135="","",SUM(L135,T135,U135,W135))</f>
        <v>0</v>
      </c>
      <c r="Y135" s="100" t="str">
        <f aca="false">IF(OR(C135="",H135=""),"",X135-H135)</f>
        <v/>
      </c>
      <c r="Z135" s="88"/>
      <c r="AA135" s="88"/>
      <c r="AB135" s="17"/>
      <c r="AC135" s="17"/>
    </row>
    <row r="136" customFormat="false" ht="45" hidden="false" customHeight="true" outlineLevel="0" collapsed="false">
      <c r="A136" s="88" t="n">
        <f aca="false">IF(C136="","",ROW()-5)</f>
        <v>131</v>
      </c>
      <c r="B136" s="89" t="s">
        <v>334</v>
      </c>
      <c r="C136" s="88" t="s">
        <v>353</v>
      </c>
      <c r="D136" s="103" t="s">
        <v>354</v>
      </c>
      <c r="E136" s="88" t="n">
        <v>3</v>
      </c>
      <c r="F136" s="91" t="s">
        <v>357</v>
      </c>
      <c r="G136" s="92"/>
      <c r="H136" s="93"/>
      <c r="I136" s="17"/>
      <c r="J136" s="94"/>
      <c r="K136" s="17"/>
      <c r="L136" s="95"/>
      <c r="M136" s="18"/>
      <c r="N136" s="96"/>
      <c r="O136" s="96"/>
      <c r="P136" s="97"/>
      <c r="Q136" s="98"/>
      <c r="R136" s="99"/>
      <c r="S136" s="99"/>
      <c r="T136" s="95"/>
      <c r="U136" s="95"/>
      <c r="V136" s="94"/>
      <c r="W136" s="95"/>
      <c r="X136" s="95" t="n">
        <f aca="false">IF(C136="","",SUM(L136,T136,U136,W136))</f>
        <v>0</v>
      </c>
      <c r="Y136" s="100" t="str">
        <f aca="false">IF(OR(C136="",H136=""),"",X136-H136)</f>
        <v/>
      </c>
      <c r="Z136" s="88"/>
      <c r="AA136" s="88"/>
      <c r="AB136" s="17"/>
      <c r="AC136" s="17"/>
    </row>
    <row r="137" customFormat="false" ht="31.5" hidden="false" customHeight="true" outlineLevel="0" collapsed="false">
      <c r="A137" s="88" t="n">
        <f aca="false">IF(C137="","",ROW()-5)</f>
        <v>132</v>
      </c>
      <c r="B137" s="89" t="s">
        <v>334</v>
      </c>
      <c r="C137" s="88" t="s">
        <v>353</v>
      </c>
      <c r="D137" s="103" t="s">
        <v>354</v>
      </c>
      <c r="E137" s="88" t="n">
        <v>4</v>
      </c>
      <c r="F137" s="91" t="s">
        <v>358</v>
      </c>
      <c r="G137" s="92"/>
      <c r="H137" s="93"/>
      <c r="I137" s="17"/>
      <c r="J137" s="94"/>
      <c r="K137" s="17"/>
      <c r="L137" s="95"/>
      <c r="M137" s="18"/>
      <c r="N137" s="96"/>
      <c r="O137" s="96"/>
      <c r="P137" s="97"/>
      <c r="Q137" s="98"/>
      <c r="R137" s="99"/>
      <c r="S137" s="99"/>
      <c r="T137" s="95"/>
      <c r="U137" s="95"/>
      <c r="V137" s="94"/>
      <c r="W137" s="95"/>
      <c r="X137" s="95" t="n">
        <f aca="false">IF(C137="","",SUM(L137,T137,U137,W137))</f>
        <v>0</v>
      </c>
      <c r="Y137" s="100" t="str">
        <f aca="false">IF(OR(C137="",H137=""),"",X137-H137)</f>
        <v/>
      </c>
      <c r="Z137" s="88"/>
      <c r="AA137" s="88"/>
      <c r="AB137" s="17"/>
      <c r="AC137" s="17"/>
    </row>
    <row r="138" customFormat="false" ht="57.75" hidden="false" customHeight="true" outlineLevel="0" collapsed="false">
      <c r="A138" s="88" t="n">
        <f aca="false">IF(C138="","",ROW()-5)</f>
        <v>133</v>
      </c>
      <c r="B138" s="89" t="s">
        <v>359</v>
      </c>
      <c r="C138" s="88" t="s">
        <v>360</v>
      </c>
      <c r="D138" s="103" t="s">
        <v>361</v>
      </c>
      <c r="E138" s="88" t="n">
        <v>1</v>
      </c>
      <c r="F138" s="91" t="s">
        <v>362</v>
      </c>
      <c r="G138" s="92"/>
      <c r="H138" s="93"/>
      <c r="I138" s="17"/>
      <c r="J138" s="94"/>
      <c r="K138" s="17"/>
      <c r="L138" s="95"/>
      <c r="M138" s="18"/>
      <c r="N138" s="96"/>
      <c r="O138" s="96"/>
      <c r="P138" s="97"/>
      <c r="Q138" s="98"/>
      <c r="R138" s="99"/>
      <c r="S138" s="99"/>
      <c r="T138" s="95"/>
      <c r="U138" s="95"/>
      <c r="V138" s="94"/>
      <c r="W138" s="95"/>
      <c r="X138" s="95" t="n">
        <f aca="false">IF(C138="","",SUM(L138,T138,U138,W138))</f>
        <v>0</v>
      </c>
      <c r="Y138" s="100" t="str">
        <f aca="false">IF(OR(C138="",H138=""),"",X138-H138)</f>
        <v/>
      </c>
      <c r="Z138" s="88"/>
      <c r="AA138" s="88"/>
      <c r="AB138" s="17"/>
      <c r="AC138" s="17"/>
    </row>
    <row r="139" customFormat="false" ht="45" hidden="false" customHeight="true" outlineLevel="0" collapsed="false">
      <c r="A139" s="88" t="n">
        <f aca="false">IF(C139="","",ROW()-5)</f>
        <v>134</v>
      </c>
      <c r="B139" s="89" t="s">
        <v>359</v>
      </c>
      <c r="C139" s="88" t="s">
        <v>360</v>
      </c>
      <c r="D139" s="103" t="s">
        <v>361</v>
      </c>
      <c r="E139" s="88" t="n">
        <v>2</v>
      </c>
      <c r="F139" s="91" t="s">
        <v>363</v>
      </c>
      <c r="G139" s="92"/>
      <c r="H139" s="93"/>
      <c r="I139" s="17"/>
      <c r="J139" s="94"/>
      <c r="K139" s="17"/>
      <c r="L139" s="95"/>
      <c r="M139" s="18"/>
      <c r="N139" s="96"/>
      <c r="O139" s="96"/>
      <c r="P139" s="97"/>
      <c r="Q139" s="98"/>
      <c r="R139" s="99"/>
      <c r="S139" s="99"/>
      <c r="T139" s="95"/>
      <c r="U139" s="95"/>
      <c r="V139" s="94"/>
      <c r="W139" s="95"/>
      <c r="X139" s="95" t="n">
        <f aca="false">IF(C139="","",SUM(L139,T139,U139,W139))</f>
        <v>0</v>
      </c>
      <c r="Y139" s="100" t="str">
        <f aca="false">IF(OR(C139="",H139=""),"",X139-H139)</f>
        <v/>
      </c>
      <c r="Z139" s="88"/>
      <c r="AA139" s="88"/>
      <c r="AB139" s="17"/>
      <c r="AC139" s="17"/>
    </row>
    <row r="140" customFormat="false" ht="57.75" hidden="false" customHeight="true" outlineLevel="0" collapsed="false">
      <c r="A140" s="88" t="n">
        <f aca="false">IF(C140="","",ROW()-5)</f>
        <v>135</v>
      </c>
      <c r="B140" s="89" t="s">
        <v>359</v>
      </c>
      <c r="C140" s="88" t="s">
        <v>360</v>
      </c>
      <c r="D140" s="103" t="s">
        <v>361</v>
      </c>
      <c r="E140" s="88" t="n">
        <v>3</v>
      </c>
      <c r="F140" s="91" t="s">
        <v>364</v>
      </c>
      <c r="G140" s="92"/>
      <c r="H140" s="93"/>
      <c r="I140" s="17"/>
      <c r="J140" s="94"/>
      <c r="K140" s="17"/>
      <c r="L140" s="95"/>
      <c r="M140" s="18"/>
      <c r="N140" s="96"/>
      <c r="O140" s="96"/>
      <c r="P140" s="97"/>
      <c r="Q140" s="98"/>
      <c r="R140" s="99"/>
      <c r="S140" s="99"/>
      <c r="T140" s="95"/>
      <c r="U140" s="95"/>
      <c r="V140" s="94"/>
      <c r="W140" s="95"/>
      <c r="X140" s="95" t="n">
        <f aca="false">IF(C140="","",SUM(L140,T140,U140,W140))</f>
        <v>0</v>
      </c>
      <c r="Y140" s="100" t="str">
        <f aca="false">IF(OR(C140="",H140=""),"",X140-H140)</f>
        <v/>
      </c>
      <c r="Z140" s="88"/>
      <c r="AA140" s="88"/>
      <c r="AB140" s="17"/>
      <c r="AC140" s="17"/>
    </row>
    <row r="141" customFormat="false" ht="45" hidden="false" customHeight="true" outlineLevel="0" collapsed="false">
      <c r="A141" s="88" t="n">
        <f aca="false">IF(C141="","",ROW()-5)</f>
        <v>136</v>
      </c>
      <c r="B141" s="89" t="s">
        <v>359</v>
      </c>
      <c r="C141" s="88" t="s">
        <v>360</v>
      </c>
      <c r="D141" s="103" t="s">
        <v>361</v>
      </c>
      <c r="E141" s="88" t="n">
        <v>4</v>
      </c>
      <c r="F141" s="91" t="s">
        <v>365</v>
      </c>
      <c r="G141" s="92"/>
      <c r="H141" s="93"/>
      <c r="I141" s="17"/>
      <c r="J141" s="94"/>
      <c r="K141" s="17"/>
      <c r="L141" s="95"/>
      <c r="M141" s="18"/>
      <c r="N141" s="96"/>
      <c r="O141" s="96"/>
      <c r="P141" s="97"/>
      <c r="Q141" s="98"/>
      <c r="R141" s="99"/>
      <c r="S141" s="99"/>
      <c r="T141" s="95"/>
      <c r="U141" s="95"/>
      <c r="V141" s="94"/>
      <c r="W141" s="95"/>
      <c r="X141" s="95" t="n">
        <f aca="false">IF(C141="","",SUM(L141,T141,U141,W141))</f>
        <v>0</v>
      </c>
      <c r="Y141" s="100" t="str">
        <f aca="false">IF(OR(C141="",H141=""),"",X141-H141)</f>
        <v/>
      </c>
      <c r="Z141" s="88"/>
      <c r="AA141" s="88"/>
      <c r="AB141" s="17"/>
      <c r="AC141" s="17"/>
    </row>
    <row r="142" customFormat="false" ht="45" hidden="false" customHeight="true" outlineLevel="0" collapsed="false">
      <c r="A142" s="88" t="n">
        <f aca="false">IF(C142="","",ROW()-5)</f>
        <v>137</v>
      </c>
      <c r="B142" s="89" t="s">
        <v>359</v>
      </c>
      <c r="C142" s="88" t="s">
        <v>360</v>
      </c>
      <c r="D142" s="103" t="s">
        <v>361</v>
      </c>
      <c r="E142" s="88" t="n">
        <v>5</v>
      </c>
      <c r="F142" s="91" t="s">
        <v>366</v>
      </c>
      <c r="G142" s="92"/>
      <c r="H142" s="93"/>
      <c r="I142" s="17"/>
      <c r="J142" s="94"/>
      <c r="K142" s="17"/>
      <c r="L142" s="95"/>
      <c r="M142" s="18"/>
      <c r="N142" s="96"/>
      <c r="O142" s="96"/>
      <c r="P142" s="97"/>
      <c r="Q142" s="98"/>
      <c r="R142" s="99"/>
      <c r="S142" s="99"/>
      <c r="T142" s="95"/>
      <c r="U142" s="95"/>
      <c r="V142" s="94"/>
      <c r="W142" s="95"/>
      <c r="X142" s="95" t="n">
        <f aca="false">IF(C142="","",SUM(L142,T142,U142,W142))</f>
        <v>0</v>
      </c>
      <c r="Y142" s="100" t="str">
        <f aca="false">IF(OR(C142="",H142=""),"",X142-H142)</f>
        <v/>
      </c>
      <c r="Z142" s="88"/>
      <c r="AA142" s="88"/>
      <c r="AB142" s="17"/>
      <c r="AC142" s="17"/>
    </row>
    <row r="143" customFormat="false" ht="70.5" hidden="false" customHeight="true" outlineLevel="0" collapsed="false">
      <c r="A143" s="88" t="n">
        <f aca="false">IF(C143="","",ROW()-5)</f>
        <v>138</v>
      </c>
      <c r="B143" s="89" t="s">
        <v>359</v>
      </c>
      <c r="C143" s="88" t="s">
        <v>367</v>
      </c>
      <c r="D143" s="90" t="s">
        <v>368</v>
      </c>
      <c r="E143" s="88" t="n">
        <v>1</v>
      </c>
      <c r="F143" s="91" t="s">
        <v>369</v>
      </c>
      <c r="G143" s="92"/>
      <c r="H143" s="93"/>
      <c r="I143" s="17"/>
      <c r="J143" s="94"/>
      <c r="K143" s="17"/>
      <c r="L143" s="95"/>
      <c r="M143" s="18"/>
      <c r="N143" s="96"/>
      <c r="O143" s="96"/>
      <c r="P143" s="97"/>
      <c r="Q143" s="98"/>
      <c r="R143" s="99"/>
      <c r="S143" s="99"/>
      <c r="T143" s="95"/>
      <c r="U143" s="95"/>
      <c r="V143" s="94"/>
      <c r="W143" s="95"/>
      <c r="X143" s="95" t="n">
        <f aca="false">IF(C143="","",SUM(L143,T143,U143,W143))</f>
        <v>0</v>
      </c>
      <c r="Y143" s="100" t="str">
        <f aca="false">IF(OR(C143="",H143=""),"",X143-H143)</f>
        <v/>
      </c>
      <c r="Z143" s="88"/>
      <c r="AA143" s="88"/>
      <c r="AB143" s="17"/>
      <c r="AC143" s="17"/>
    </row>
    <row r="144" customFormat="false" ht="70.5" hidden="false" customHeight="true" outlineLevel="0" collapsed="false">
      <c r="A144" s="88" t="n">
        <f aca="false">IF(C144="","",ROW()-5)</f>
        <v>139</v>
      </c>
      <c r="B144" s="89" t="s">
        <v>359</v>
      </c>
      <c r="C144" s="88" t="s">
        <v>367</v>
      </c>
      <c r="D144" s="90" t="s">
        <v>368</v>
      </c>
      <c r="E144" s="88" t="n">
        <v>2</v>
      </c>
      <c r="F144" s="101" t="s">
        <v>370</v>
      </c>
      <c r="G144" s="92"/>
      <c r="H144" s="93"/>
      <c r="I144" s="17"/>
      <c r="J144" s="94"/>
      <c r="K144" s="17"/>
      <c r="L144" s="95"/>
      <c r="M144" s="18"/>
      <c r="N144" s="96"/>
      <c r="O144" s="96"/>
      <c r="P144" s="97"/>
      <c r="Q144" s="98"/>
      <c r="R144" s="99"/>
      <c r="S144" s="99"/>
      <c r="T144" s="95"/>
      <c r="U144" s="95"/>
      <c r="V144" s="94"/>
      <c r="W144" s="95"/>
      <c r="X144" s="95" t="n">
        <f aca="false">IF(C144="","",SUM(L144,T144,U144,W144))</f>
        <v>0</v>
      </c>
      <c r="Y144" s="100" t="str">
        <f aca="false">IF(OR(C144="",H144=""),"",X144-H144)</f>
        <v/>
      </c>
      <c r="Z144" s="88"/>
      <c r="AA144" s="88"/>
      <c r="AB144" s="17"/>
      <c r="AC144" s="17"/>
    </row>
    <row r="145" customFormat="false" ht="70.5" hidden="false" customHeight="true" outlineLevel="0" collapsed="false">
      <c r="A145" s="88" t="n">
        <f aca="false">IF(C145="","",ROW()-5)</f>
        <v>140</v>
      </c>
      <c r="B145" s="89" t="s">
        <v>359</v>
      </c>
      <c r="C145" s="88" t="s">
        <v>367</v>
      </c>
      <c r="D145" s="90" t="s">
        <v>368</v>
      </c>
      <c r="E145" s="88" t="n">
        <v>3</v>
      </c>
      <c r="F145" s="91" t="s">
        <v>371</v>
      </c>
      <c r="G145" s="92"/>
      <c r="H145" s="93"/>
      <c r="I145" s="17"/>
      <c r="J145" s="94"/>
      <c r="K145" s="17"/>
      <c r="L145" s="95"/>
      <c r="M145" s="18"/>
      <c r="N145" s="96"/>
      <c r="O145" s="96"/>
      <c r="P145" s="97"/>
      <c r="Q145" s="98"/>
      <c r="R145" s="99"/>
      <c r="S145" s="99"/>
      <c r="T145" s="95"/>
      <c r="U145" s="95"/>
      <c r="V145" s="94"/>
      <c r="W145" s="95"/>
      <c r="X145" s="95" t="n">
        <f aca="false">IF(C145="","",SUM(L145,T145,U145,W145))</f>
        <v>0</v>
      </c>
      <c r="Y145" s="100" t="str">
        <f aca="false">IF(OR(C145="",H145=""),"",X145-H145)</f>
        <v/>
      </c>
      <c r="Z145" s="88"/>
      <c r="AA145" s="88"/>
      <c r="AB145" s="17"/>
      <c r="AC145" s="17"/>
    </row>
    <row r="146" customFormat="false" ht="57.75" hidden="false" customHeight="true" outlineLevel="0" collapsed="false">
      <c r="A146" s="88" t="n">
        <f aca="false">IF(C146="","",ROW()-5)</f>
        <v>141</v>
      </c>
      <c r="B146" s="89" t="s">
        <v>359</v>
      </c>
      <c r="C146" s="88" t="s">
        <v>367</v>
      </c>
      <c r="D146" s="90" t="s">
        <v>368</v>
      </c>
      <c r="E146" s="88" t="n">
        <v>4</v>
      </c>
      <c r="F146" s="101" t="s">
        <v>372</v>
      </c>
      <c r="G146" s="92"/>
      <c r="H146" s="93"/>
      <c r="I146" s="17"/>
      <c r="J146" s="94"/>
      <c r="K146" s="17"/>
      <c r="L146" s="95"/>
      <c r="M146" s="18"/>
      <c r="N146" s="96"/>
      <c r="O146" s="96"/>
      <c r="P146" s="97"/>
      <c r="Q146" s="98"/>
      <c r="R146" s="99"/>
      <c r="S146" s="99"/>
      <c r="T146" s="95"/>
      <c r="U146" s="95"/>
      <c r="V146" s="94"/>
      <c r="W146" s="95"/>
      <c r="X146" s="95" t="n">
        <f aca="false">IF(C146="","",SUM(L146,T146,U146,W146))</f>
        <v>0</v>
      </c>
      <c r="Y146" s="100" t="str">
        <f aca="false">IF(OR(C146="",H146=""),"",X146-H146)</f>
        <v/>
      </c>
      <c r="Z146" s="88"/>
      <c r="AA146" s="88"/>
      <c r="AB146" s="17"/>
      <c r="AC146" s="17"/>
    </row>
    <row r="147" customFormat="false" ht="45" hidden="false" customHeight="true" outlineLevel="0" collapsed="false">
      <c r="A147" s="88" t="n">
        <f aca="false">IF(C147="","",ROW()-5)</f>
        <v>142</v>
      </c>
      <c r="B147" s="89" t="s">
        <v>359</v>
      </c>
      <c r="C147" s="88" t="s">
        <v>367</v>
      </c>
      <c r="D147" s="90" t="s">
        <v>368</v>
      </c>
      <c r="E147" s="88" t="n">
        <v>5</v>
      </c>
      <c r="F147" s="101" t="s">
        <v>373</v>
      </c>
      <c r="G147" s="92"/>
      <c r="H147" s="93"/>
      <c r="I147" s="17"/>
      <c r="J147" s="94"/>
      <c r="K147" s="17"/>
      <c r="L147" s="95"/>
      <c r="M147" s="18"/>
      <c r="N147" s="96"/>
      <c r="O147" s="96"/>
      <c r="P147" s="97"/>
      <c r="Q147" s="98"/>
      <c r="R147" s="99"/>
      <c r="S147" s="99"/>
      <c r="T147" s="95"/>
      <c r="U147" s="95"/>
      <c r="V147" s="94"/>
      <c r="W147" s="95"/>
      <c r="X147" s="95" t="n">
        <f aca="false">IF(C147="","",SUM(L147,T147,U147,W147))</f>
        <v>0</v>
      </c>
      <c r="Y147" s="100" t="str">
        <f aca="false">IF(OR(C147="",H147=""),"",X147-H147)</f>
        <v/>
      </c>
      <c r="Z147" s="88"/>
      <c r="AA147" s="88"/>
      <c r="AB147" s="17"/>
      <c r="AC147" s="17"/>
    </row>
    <row r="148" customFormat="false" ht="45" hidden="false" customHeight="true" outlineLevel="0" collapsed="false">
      <c r="A148" s="88" t="n">
        <f aca="false">IF(C148="","",ROW()-5)</f>
        <v>143</v>
      </c>
      <c r="B148" s="89" t="s">
        <v>374</v>
      </c>
      <c r="C148" s="102" t="s">
        <v>375</v>
      </c>
      <c r="D148" s="103" t="s">
        <v>376</v>
      </c>
      <c r="E148" s="102" t="n">
        <v>1</v>
      </c>
      <c r="F148" s="104" t="s">
        <v>377</v>
      </c>
      <c r="G148" s="92"/>
      <c r="H148" s="93"/>
      <c r="I148" s="17"/>
      <c r="J148" s="94"/>
      <c r="K148" s="17"/>
      <c r="L148" s="95"/>
      <c r="M148" s="18"/>
      <c r="N148" s="96"/>
      <c r="O148" s="96"/>
      <c r="P148" s="97"/>
      <c r="Q148" s="98"/>
      <c r="R148" s="99"/>
      <c r="S148" s="99"/>
      <c r="T148" s="95"/>
      <c r="U148" s="95"/>
      <c r="V148" s="94"/>
      <c r="W148" s="95"/>
      <c r="X148" s="95" t="n">
        <f aca="false">IF(C148="","",SUM(L148,T148,U148,W148))</f>
        <v>0</v>
      </c>
      <c r="Y148" s="100" t="str">
        <f aca="false">IF(OR(C148="",H148=""),"",X148-H148)</f>
        <v/>
      </c>
      <c r="Z148" s="88"/>
      <c r="AA148" s="88"/>
      <c r="AB148" s="17"/>
      <c r="AC148" s="17"/>
    </row>
    <row r="149" customFormat="false" ht="70.5" hidden="false" customHeight="true" outlineLevel="0" collapsed="false">
      <c r="A149" s="88" t="n">
        <f aca="false">IF(C149="","",ROW()-5)</f>
        <v>144</v>
      </c>
      <c r="B149" s="89" t="s">
        <v>374</v>
      </c>
      <c r="C149" s="102" t="s">
        <v>375</v>
      </c>
      <c r="D149" s="103" t="s">
        <v>376</v>
      </c>
      <c r="E149" s="102" t="n">
        <v>2</v>
      </c>
      <c r="F149" s="104" t="s">
        <v>378</v>
      </c>
      <c r="G149" s="92"/>
      <c r="H149" s="93"/>
      <c r="I149" s="17"/>
      <c r="J149" s="94"/>
      <c r="K149" s="17"/>
      <c r="L149" s="95"/>
      <c r="M149" s="18"/>
      <c r="N149" s="96"/>
      <c r="O149" s="96"/>
      <c r="P149" s="97"/>
      <c r="Q149" s="98"/>
      <c r="R149" s="99"/>
      <c r="S149" s="99"/>
      <c r="T149" s="95"/>
      <c r="U149" s="95"/>
      <c r="V149" s="94"/>
      <c r="W149" s="95"/>
      <c r="X149" s="95" t="n">
        <f aca="false">IF(C149="","",SUM(L149,T149,U149,W149))</f>
        <v>0</v>
      </c>
      <c r="Y149" s="100" t="str">
        <f aca="false">IF(OR(C149="",H149=""),"",X149-H149)</f>
        <v/>
      </c>
      <c r="Z149" s="88"/>
      <c r="AA149" s="88"/>
      <c r="AB149" s="17"/>
      <c r="AC149" s="17"/>
    </row>
    <row r="150" customFormat="false" ht="57.75" hidden="false" customHeight="true" outlineLevel="0" collapsed="false">
      <c r="A150" s="88" t="n">
        <f aca="false">IF(C150="","",ROW()-5)</f>
        <v>145</v>
      </c>
      <c r="B150" s="89" t="s">
        <v>374</v>
      </c>
      <c r="C150" s="102" t="s">
        <v>375</v>
      </c>
      <c r="D150" s="103" t="s">
        <v>376</v>
      </c>
      <c r="E150" s="102" t="n">
        <v>3</v>
      </c>
      <c r="F150" s="104" t="s">
        <v>379</v>
      </c>
      <c r="G150" s="92"/>
      <c r="H150" s="93"/>
      <c r="I150" s="17"/>
      <c r="J150" s="94"/>
      <c r="K150" s="17"/>
      <c r="L150" s="95"/>
      <c r="M150" s="18"/>
      <c r="N150" s="96"/>
      <c r="O150" s="96"/>
      <c r="P150" s="97"/>
      <c r="Q150" s="98"/>
      <c r="R150" s="99"/>
      <c r="S150" s="99"/>
      <c r="T150" s="95"/>
      <c r="U150" s="95"/>
      <c r="V150" s="94"/>
      <c r="W150" s="95"/>
      <c r="X150" s="95" t="n">
        <f aca="false">IF(C150="","",SUM(L150,T150,U150,W150))</f>
        <v>0</v>
      </c>
      <c r="Y150" s="100" t="str">
        <f aca="false">IF(OR(C150="",H150=""),"",X150-H150)</f>
        <v/>
      </c>
      <c r="Z150" s="88"/>
      <c r="AA150" s="88"/>
      <c r="AB150" s="17"/>
      <c r="AC150" s="17"/>
    </row>
    <row r="151" customFormat="false" ht="45" hidden="false" customHeight="true" outlineLevel="0" collapsed="false">
      <c r="A151" s="88" t="n">
        <f aca="false">IF(C151="","",ROW()-5)</f>
        <v>146</v>
      </c>
      <c r="B151" s="89" t="s">
        <v>374</v>
      </c>
      <c r="C151" s="102" t="s">
        <v>375</v>
      </c>
      <c r="D151" s="103" t="s">
        <v>376</v>
      </c>
      <c r="E151" s="102" t="n">
        <v>4</v>
      </c>
      <c r="F151" s="104" t="s">
        <v>380</v>
      </c>
      <c r="G151" s="92"/>
      <c r="H151" s="93"/>
      <c r="I151" s="17"/>
      <c r="J151" s="94"/>
      <c r="K151" s="17"/>
      <c r="L151" s="95"/>
      <c r="M151" s="18"/>
      <c r="N151" s="96"/>
      <c r="O151" s="96"/>
      <c r="P151" s="97"/>
      <c r="Q151" s="98"/>
      <c r="R151" s="99"/>
      <c r="S151" s="99"/>
      <c r="T151" s="95"/>
      <c r="U151" s="95"/>
      <c r="V151" s="94"/>
      <c r="W151" s="95"/>
      <c r="X151" s="95" t="n">
        <f aca="false">IF(C151="","",SUM(L151,T151,U151,W151))</f>
        <v>0</v>
      </c>
      <c r="Y151" s="100" t="str">
        <f aca="false">IF(OR(C151="",H151=""),"",X151-H151)</f>
        <v/>
      </c>
      <c r="Z151" s="88"/>
      <c r="AA151" s="88"/>
      <c r="AB151" s="17"/>
      <c r="AC151" s="17"/>
    </row>
    <row r="152" customFormat="false" ht="45" hidden="false" customHeight="true" outlineLevel="0" collapsed="false">
      <c r="A152" s="88" t="n">
        <f aca="false">IF(C152="","",ROW()-5)</f>
        <v>147</v>
      </c>
      <c r="B152" s="89" t="s">
        <v>374</v>
      </c>
      <c r="C152" s="88" t="s">
        <v>381</v>
      </c>
      <c r="D152" s="103" t="s">
        <v>382</v>
      </c>
      <c r="E152" s="88" t="n">
        <v>1</v>
      </c>
      <c r="F152" s="91" t="s">
        <v>383</v>
      </c>
      <c r="G152" s="92"/>
      <c r="H152" s="93"/>
      <c r="I152" s="17"/>
      <c r="J152" s="94"/>
      <c r="K152" s="17"/>
      <c r="L152" s="95"/>
      <c r="M152" s="18"/>
      <c r="N152" s="96"/>
      <c r="O152" s="96"/>
      <c r="P152" s="97"/>
      <c r="Q152" s="98"/>
      <c r="R152" s="99"/>
      <c r="S152" s="99"/>
      <c r="T152" s="95"/>
      <c r="U152" s="95"/>
      <c r="V152" s="94"/>
      <c r="W152" s="95"/>
      <c r="X152" s="95" t="n">
        <f aca="false">IF(C152="","",SUM(L152,T152,U152,W152))</f>
        <v>0</v>
      </c>
      <c r="Y152" s="100" t="str">
        <f aca="false">IF(OR(C152="",H152=""),"",X152-H152)</f>
        <v/>
      </c>
      <c r="Z152" s="88"/>
      <c r="AA152" s="88"/>
      <c r="AB152" s="17"/>
      <c r="AC152" s="17"/>
    </row>
    <row r="153" customFormat="false" ht="31.5" hidden="false" customHeight="true" outlineLevel="0" collapsed="false">
      <c r="A153" s="88" t="n">
        <f aca="false">IF(C153="","",ROW()-5)</f>
        <v>148</v>
      </c>
      <c r="B153" s="89" t="s">
        <v>374</v>
      </c>
      <c r="C153" s="88" t="s">
        <v>381</v>
      </c>
      <c r="D153" s="103" t="s">
        <v>382</v>
      </c>
      <c r="E153" s="88" t="n">
        <v>2</v>
      </c>
      <c r="F153" s="91" t="s">
        <v>384</v>
      </c>
      <c r="G153" s="92"/>
      <c r="H153" s="93"/>
      <c r="I153" s="17"/>
      <c r="J153" s="94"/>
      <c r="K153" s="17"/>
      <c r="L153" s="95"/>
      <c r="M153" s="18"/>
      <c r="N153" s="96"/>
      <c r="O153" s="96"/>
      <c r="P153" s="97"/>
      <c r="Q153" s="98"/>
      <c r="R153" s="99"/>
      <c r="S153" s="99"/>
      <c r="T153" s="95"/>
      <c r="U153" s="95"/>
      <c r="V153" s="94"/>
      <c r="W153" s="95"/>
      <c r="X153" s="95" t="n">
        <f aca="false">IF(C153="","",SUM(L153,T153,U153,W153))</f>
        <v>0</v>
      </c>
      <c r="Y153" s="100" t="str">
        <f aca="false">IF(OR(C153="",H153=""),"",X153-H153)</f>
        <v/>
      </c>
      <c r="Z153" s="88"/>
      <c r="AA153" s="88"/>
      <c r="AB153" s="17"/>
      <c r="AC153" s="17"/>
    </row>
    <row r="154" customFormat="false" ht="45" hidden="false" customHeight="true" outlineLevel="0" collapsed="false">
      <c r="A154" s="88" t="n">
        <f aca="false">IF(C154="","",ROW()-5)</f>
        <v>149</v>
      </c>
      <c r="B154" s="89" t="s">
        <v>374</v>
      </c>
      <c r="C154" s="88" t="s">
        <v>381</v>
      </c>
      <c r="D154" s="103" t="s">
        <v>382</v>
      </c>
      <c r="E154" s="88" t="n">
        <v>3</v>
      </c>
      <c r="F154" s="91" t="s">
        <v>385</v>
      </c>
      <c r="G154" s="92"/>
      <c r="H154" s="93"/>
      <c r="I154" s="17"/>
      <c r="J154" s="94"/>
      <c r="K154" s="17"/>
      <c r="L154" s="95"/>
      <c r="M154" s="18"/>
      <c r="N154" s="96"/>
      <c r="O154" s="96"/>
      <c r="P154" s="97"/>
      <c r="Q154" s="98"/>
      <c r="R154" s="99"/>
      <c r="S154" s="99"/>
      <c r="T154" s="95"/>
      <c r="U154" s="95"/>
      <c r="V154" s="94"/>
      <c r="W154" s="95"/>
      <c r="X154" s="95" t="n">
        <f aca="false">IF(C154="","",SUM(L154,T154,U154,W154))</f>
        <v>0</v>
      </c>
      <c r="Y154" s="100" t="str">
        <f aca="false">IF(OR(C154="",H154=""),"",X154-H154)</f>
        <v/>
      </c>
      <c r="Z154" s="88"/>
      <c r="AA154" s="88"/>
      <c r="AB154" s="17"/>
      <c r="AC154" s="17"/>
    </row>
    <row r="155" customFormat="false" ht="84" hidden="false" customHeight="true" outlineLevel="0" collapsed="false">
      <c r="A155" s="88" t="n">
        <f aca="false">IF(C155="","",ROW()-5)</f>
        <v>150</v>
      </c>
      <c r="B155" s="89" t="s">
        <v>374</v>
      </c>
      <c r="C155" s="88" t="s">
        <v>381</v>
      </c>
      <c r="D155" s="103" t="s">
        <v>382</v>
      </c>
      <c r="E155" s="88" t="n">
        <v>4</v>
      </c>
      <c r="F155" s="91" t="s">
        <v>386</v>
      </c>
      <c r="G155" s="92"/>
      <c r="H155" s="93"/>
      <c r="I155" s="17"/>
      <c r="J155" s="94"/>
      <c r="K155" s="17"/>
      <c r="L155" s="95"/>
      <c r="M155" s="18"/>
      <c r="N155" s="96"/>
      <c r="O155" s="96"/>
      <c r="P155" s="97"/>
      <c r="Q155" s="98"/>
      <c r="R155" s="99"/>
      <c r="S155" s="99"/>
      <c r="T155" s="95"/>
      <c r="U155" s="95"/>
      <c r="V155" s="94"/>
      <c r="W155" s="95"/>
      <c r="X155" s="95" t="n">
        <f aca="false">IF(C155="","",SUM(L155,T155,U155,W155))</f>
        <v>0</v>
      </c>
      <c r="Y155" s="100" t="str">
        <f aca="false">IF(OR(C155="",H155=""),"",X155-H155)</f>
        <v/>
      </c>
      <c r="Z155" s="88"/>
      <c r="AA155" s="88"/>
      <c r="AB155" s="17"/>
      <c r="AC155" s="17"/>
    </row>
    <row r="156" customFormat="false" ht="45" hidden="false" customHeight="true" outlineLevel="0" collapsed="false">
      <c r="A156" s="88" t="n">
        <f aca="false">IF(C156="","",ROW()-5)</f>
        <v>151</v>
      </c>
      <c r="B156" s="89" t="s">
        <v>374</v>
      </c>
      <c r="C156" s="88" t="s">
        <v>381</v>
      </c>
      <c r="D156" s="103" t="s">
        <v>382</v>
      </c>
      <c r="E156" s="88" t="n">
        <v>5</v>
      </c>
      <c r="F156" s="91" t="s">
        <v>387</v>
      </c>
      <c r="G156" s="92"/>
      <c r="H156" s="93"/>
      <c r="I156" s="17"/>
      <c r="J156" s="94"/>
      <c r="K156" s="17"/>
      <c r="L156" s="95"/>
      <c r="M156" s="18"/>
      <c r="N156" s="96"/>
      <c r="O156" s="96"/>
      <c r="P156" s="97"/>
      <c r="Q156" s="98"/>
      <c r="R156" s="99"/>
      <c r="S156" s="99"/>
      <c r="T156" s="95"/>
      <c r="U156" s="95"/>
      <c r="V156" s="94"/>
      <c r="W156" s="95"/>
      <c r="X156" s="95" t="n">
        <f aca="false">IF(C156="","",SUM(L156,T156,U156,W156))</f>
        <v>0</v>
      </c>
      <c r="Y156" s="100" t="str">
        <f aca="false">IF(OR(C156="",H156=""),"",X156-H156)</f>
        <v/>
      </c>
      <c r="Z156" s="88"/>
      <c r="AA156" s="88"/>
      <c r="AB156" s="17"/>
      <c r="AC156" s="17"/>
    </row>
    <row r="157" customFormat="false" ht="57.75" hidden="false" customHeight="true" outlineLevel="0" collapsed="false">
      <c r="A157" s="88" t="n">
        <f aca="false">IF(C157="","",ROW()-5)</f>
        <v>152</v>
      </c>
      <c r="B157" s="89" t="s">
        <v>374</v>
      </c>
      <c r="C157" s="88" t="s">
        <v>381</v>
      </c>
      <c r="D157" s="103" t="s">
        <v>382</v>
      </c>
      <c r="E157" s="88" t="n">
        <v>6</v>
      </c>
      <c r="F157" s="91" t="s">
        <v>388</v>
      </c>
      <c r="G157" s="92"/>
      <c r="H157" s="93"/>
      <c r="I157" s="17"/>
      <c r="J157" s="94"/>
      <c r="K157" s="17"/>
      <c r="L157" s="95"/>
      <c r="M157" s="18"/>
      <c r="N157" s="96"/>
      <c r="O157" s="96"/>
      <c r="P157" s="97"/>
      <c r="Q157" s="98"/>
      <c r="R157" s="99"/>
      <c r="S157" s="99"/>
      <c r="T157" s="95"/>
      <c r="U157" s="95"/>
      <c r="V157" s="94"/>
      <c r="W157" s="95"/>
      <c r="X157" s="95" t="n">
        <f aca="false">IF(C157="","",SUM(L157,T157,U157,W157))</f>
        <v>0</v>
      </c>
      <c r="Y157" s="100" t="str">
        <f aca="false">IF(OR(C157="",H157=""),"",X157-H157)</f>
        <v/>
      </c>
      <c r="Z157" s="88"/>
      <c r="AA157" s="88"/>
      <c r="AB157" s="17"/>
      <c r="AC157" s="17"/>
    </row>
    <row r="158" customFormat="false" ht="57.75" hidden="false" customHeight="true" outlineLevel="0" collapsed="false">
      <c r="A158" s="88" t="n">
        <f aca="false">IF(C158="","",ROW()-5)</f>
        <v>153</v>
      </c>
      <c r="B158" s="89" t="s">
        <v>374</v>
      </c>
      <c r="C158" s="88" t="s">
        <v>381</v>
      </c>
      <c r="D158" s="103" t="s">
        <v>382</v>
      </c>
      <c r="E158" s="88" t="n">
        <v>7</v>
      </c>
      <c r="F158" s="91" t="s">
        <v>389</v>
      </c>
      <c r="G158" s="92"/>
      <c r="H158" s="93"/>
      <c r="I158" s="17"/>
      <c r="J158" s="94"/>
      <c r="K158" s="17"/>
      <c r="L158" s="95"/>
      <c r="M158" s="18"/>
      <c r="N158" s="96"/>
      <c r="O158" s="96"/>
      <c r="P158" s="97"/>
      <c r="Q158" s="98"/>
      <c r="R158" s="99"/>
      <c r="S158" s="99"/>
      <c r="T158" s="95"/>
      <c r="U158" s="95"/>
      <c r="V158" s="94"/>
      <c r="W158" s="95"/>
      <c r="X158" s="95" t="n">
        <f aca="false">IF(C158="","",SUM(L158,T158,U158,W158))</f>
        <v>0</v>
      </c>
      <c r="Y158" s="100" t="str">
        <f aca="false">IF(OR(C158="",H158=""),"",X158-H158)</f>
        <v/>
      </c>
      <c r="Z158" s="88"/>
      <c r="AA158" s="88"/>
      <c r="AB158" s="17"/>
      <c r="AC158" s="17"/>
    </row>
    <row r="159" customFormat="false" ht="45" hidden="false" customHeight="true" outlineLevel="0" collapsed="false">
      <c r="A159" s="88" t="n">
        <f aca="false">IF(C159="","",ROW()-5)</f>
        <v>154</v>
      </c>
      <c r="B159" s="89" t="s">
        <v>374</v>
      </c>
      <c r="C159" s="88" t="s">
        <v>390</v>
      </c>
      <c r="D159" s="103" t="s">
        <v>391</v>
      </c>
      <c r="E159" s="88" t="n">
        <v>1</v>
      </c>
      <c r="F159" s="91" t="s">
        <v>392</v>
      </c>
      <c r="G159" s="92"/>
      <c r="H159" s="93"/>
      <c r="I159" s="17"/>
      <c r="J159" s="94"/>
      <c r="K159" s="17"/>
      <c r="L159" s="95"/>
      <c r="M159" s="18"/>
      <c r="N159" s="96"/>
      <c r="O159" s="96"/>
      <c r="P159" s="97"/>
      <c r="Q159" s="98"/>
      <c r="R159" s="99"/>
      <c r="S159" s="99"/>
      <c r="T159" s="95"/>
      <c r="U159" s="95"/>
      <c r="V159" s="94"/>
      <c r="W159" s="95"/>
      <c r="X159" s="95" t="n">
        <f aca="false">IF(C159="","",SUM(L159,T159,U159,W159))</f>
        <v>0</v>
      </c>
      <c r="Y159" s="100" t="str">
        <f aca="false">IF(OR(C159="",H159=""),"",X159-H159)</f>
        <v/>
      </c>
      <c r="Z159" s="88"/>
      <c r="AA159" s="88"/>
      <c r="AB159" s="17"/>
      <c r="AC159" s="17"/>
    </row>
    <row r="160" customFormat="false" ht="45" hidden="false" customHeight="true" outlineLevel="0" collapsed="false">
      <c r="A160" s="88" t="n">
        <f aca="false">IF(C160="","",ROW()-5)</f>
        <v>155</v>
      </c>
      <c r="B160" s="89" t="s">
        <v>374</v>
      </c>
      <c r="C160" s="88" t="s">
        <v>390</v>
      </c>
      <c r="D160" s="103" t="s">
        <v>391</v>
      </c>
      <c r="E160" s="88" t="n">
        <v>2</v>
      </c>
      <c r="F160" s="91" t="s">
        <v>393</v>
      </c>
      <c r="G160" s="92"/>
      <c r="H160" s="93"/>
      <c r="I160" s="17"/>
      <c r="J160" s="94"/>
      <c r="K160" s="17"/>
      <c r="L160" s="95"/>
      <c r="M160" s="18"/>
      <c r="N160" s="96"/>
      <c r="O160" s="96"/>
      <c r="P160" s="97"/>
      <c r="Q160" s="98"/>
      <c r="R160" s="99"/>
      <c r="S160" s="99"/>
      <c r="T160" s="95"/>
      <c r="U160" s="95"/>
      <c r="V160" s="94"/>
      <c r="W160" s="95"/>
      <c r="X160" s="95" t="n">
        <f aca="false">IF(C160="","",SUM(L160,T160,U160,W160))</f>
        <v>0</v>
      </c>
      <c r="Y160" s="100" t="str">
        <f aca="false">IF(OR(C160="",H160=""),"",X160-H160)</f>
        <v/>
      </c>
      <c r="Z160" s="88"/>
      <c r="AA160" s="88"/>
      <c r="AB160" s="17"/>
      <c r="AC160" s="17"/>
    </row>
    <row r="161" customFormat="false" ht="31.5" hidden="false" customHeight="true" outlineLevel="0" collapsed="false">
      <c r="A161" s="88" t="n">
        <f aca="false">IF(C161="","",ROW()-5)</f>
        <v>156</v>
      </c>
      <c r="B161" s="89" t="s">
        <v>374</v>
      </c>
      <c r="C161" s="88" t="s">
        <v>390</v>
      </c>
      <c r="D161" s="103" t="s">
        <v>391</v>
      </c>
      <c r="E161" s="88" t="n">
        <v>3</v>
      </c>
      <c r="F161" s="91" t="s">
        <v>394</v>
      </c>
      <c r="G161" s="92"/>
      <c r="H161" s="93"/>
      <c r="I161" s="17"/>
      <c r="J161" s="94"/>
      <c r="K161" s="17"/>
      <c r="L161" s="95"/>
      <c r="M161" s="18"/>
      <c r="N161" s="96"/>
      <c r="O161" s="96"/>
      <c r="P161" s="97"/>
      <c r="Q161" s="98"/>
      <c r="R161" s="99"/>
      <c r="S161" s="99"/>
      <c r="T161" s="95"/>
      <c r="U161" s="95"/>
      <c r="V161" s="94"/>
      <c r="W161" s="95"/>
      <c r="X161" s="95" t="n">
        <f aca="false">IF(C161="","",SUM(L161,T161,U161,W161))</f>
        <v>0</v>
      </c>
      <c r="Y161" s="100" t="str">
        <f aca="false">IF(OR(C161="",H161=""),"",X161-H161)</f>
        <v/>
      </c>
      <c r="Z161" s="88"/>
      <c r="AA161" s="88"/>
      <c r="AB161" s="17"/>
      <c r="AC161" s="17"/>
    </row>
    <row r="162" customFormat="false" ht="31.5" hidden="false" customHeight="true" outlineLevel="0" collapsed="false">
      <c r="A162" s="88" t="n">
        <f aca="false">IF(C162="","",ROW()-5)</f>
        <v>157</v>
      </c>
      <c r="B162" s="89" t="s">
        <v>374</v>
      </c>
      <c r="C162" s="88" t="s">
        <v>390</v>
      </c>
      <c r="D162" s="103" t="s">
        <v>391</v>
      </c>
      <c r="E162" s="88" t="n">
        <v>4</v>
      </c>
      <c r="F162" s="91" t="s">
        <v>395</v>
      </c>
      <c r="G162" s="92"/>
      <c r="H162" s="93"/>
      <c r="I162" s="17"/>
      <c r="J162" s="94"/>
      <c r="K162" s="17"/>
      <c r="L162" s="95"/>
      <c r="M162" s="18"/>
      <c r="N162" s="96"/>
      <c r="O162" s="96"/>
      <c r="P162" s="97"/>
      <c r="Q162" s="98"/>
      <c r="R162" s="99"/>
      <c r="S162" s="99"/>
      <c r="T162" s="95"/>
      <c r="U162" s="95"/>
      <c r="V162" s="94"/>
      <c r="W162" s="95"/>
      <c r="X162" s="95" t="n">
        <f aca="false">IF(C162="","",SUM(L162,T162,U162,W162))</f>
        <v>0</v>
      </c>
      <c r="Y162" s="100" t="str">
        <f aca="false">IF(OR(C162="",H162=""),"",X162-H162)</f>
        <v/>
      </c>
      <c r="Z162" s="88"/>
      <c r="AA162" s="88"/>
      <c r="AB162" s="17"/>
      <c r="AC162" s="17"/>
    </row>
    <row r="163" customFormat="false" ht="57.75" hidden="false" customHeight="true" outlineLevel="0" collapsed="false">
      <c r="A163" s="88" t="n">
        <f aca="false">IF(C163="","",ROW()-5)</f>
        <v>158</v>
      </c>
      <c r="B163" s="89" t="s">
        <v>374</v>
      </c>
      <c r="C163" s="88" t="s">
        <v>390</v>
      </c>
      <c r="D163" s="103" t="s">
        <v>391</v>
      </c>
      <c r="E163" s="88" t="n">
        <v>5</v>
      </c>
      <c r="F163" s="91" t="s">
        <v>396</v>
      </c>
      <c r="G163" s="92"/>
      <c r="H163" s="93"/>
      <c r="I163" s="17"/>
      <c r="J163" s="94"/>
      <c r="K163" s="17"/>
      <c r="L163" s="95"/>
      <c r="M163" s="18"/>
      <c r="N163" s="96"/>
      <c r="O163" s="96"/>
      <c r="P163" s="97"/>
      <c r="Q163" s="98"/>
      <c r="R163" s="99"/>
      <c r="S163" s="99"/>
      <c r="T163" s="95"/>
      <c r="U163" s="95"/>
      <c r="V163" s="94"/>
      <c r="W163" s="95"/>
      <c r="X163" s="95" t="n">
        <f aca="false">IF(C163="","",SUM(L163,T163,U163,W163))</f>
        <v>0</v>
      </c>
      <c r="Y163" s="100" t="str">
        <f aca="false">IF(OR(C163="",H163=""),"",X163-H163)</f>
        <v/>
      </c>
      <c r="Z163" s="88"/>
      <c r="AA163" s="88"/>
      <c r="AB163" s="17"/>
      <c r="AC163" s="17"/>
    </row>
    <row r="164" customFormat="false" ht="45" hidden="false" customHeight="true" outlineLevel="0" collapsed="false">
      <c r="A164" s="88" t="n">
        <f aca="false">IF(C164="","",ROW()-5)</f>
        <v>159</v>
      </c>
      <c r="B164" s="89" t="s">
        <v>374</v>
      </c>
      <c r="C164" s="88" t="s">
        <v>397</v>
      </c>
      <c r="D164" s="90" t="s">
        <v>398</v>
      </c>
      <c r="E164" s="88" t="n">
        <v>1</v>
      </c>
      <c r="F164" s="91" t="s">
        <v>399</v>
      </c>
      <c r="G164" s="92"/>
      <c r="H164" s="93"/>
      <c r="I164" s="17"/>
      <c r="J164" s="94"/>
      <c r="K164" s="17"/>
      <c r="L164" s="95"/>
      <c r="M164" s="18"/>
      <c r="N164" s="96"/>
      <c r="O164" s="96"/>
      <c r="P164" s="97"/>
      <c r="Q164" s="98"/>
      <c r="R164" s="99"/>
      <c r="S164" s="99"/>
      <c r="T164" s="95"/>
      <c r="U164" s="95"/>
      <c r="V164" s="94"/>
      <c r="W164" s="95"/>
      <c r="X164" s="95" t="n">
        <f aca="false">IF(C164="","",SUM(L164,T164,U164,W164))</f>
        <v>0</v>
      </c>
      <c r="Y164" s="100" t="str">
        <f aca="false">IF(OR(C164="",H164=""),"",X164-H164)</f>
        <v/>
      </c>
      <c r="Z164" s="88"/>
      <c r="AA164" s="88"/>
      <c r="AB164" s="17"/>
      <c r="AC164" s="17"/>
    </row>
    <row r="165" customFormat="false" ht="45" hidden="false" customHeight="true" outlineLevel="0" collapsed="false">
      <c r="A165" s="88" t="n">
        <f aca="false">IF(C165="","",ROW()-5)</f>
        <v>160</v>
      </c>
      <c r="B165" s="89" t="s">
        <v>374</v>
      </c>
      <c r="C165" s="88" t="s">
        <v>397</v>
      </c>
      <c r="D165" s="90" t="s">
        <v>398</v>
      </c>
      <c r="E165" s="88" t="n">
        <v>2</v>
      </c>
      <c r="F165" s="91" t="s">
        <v>400</v>
      </c>
      <c r="G165" s="92"/>
      <c r="H165" s="93"/>
      <c r="I165" s="17"/>
      <c r="J165" s="94"/>
      <c r="K165" s="17"/>
      <c r="L165" s="95"/>
      <c r="M165" s="18"/>
      <c r="N165" s="96"/>
      <c r="O165" s="96"/>
      <c r="P165" s="97"/>
      <c r="Q165" s="98"/>
      <c r="R165" s="99"/>
      <c r="S165" s="99"/>
      <c r="T165" s="95"/>
      <c r="U165" s="95"/>
      <c r="V165" s="94"/>
      <c r="W165" s="95"/>
      <c r="X165" s="95" t="n">
        <f aca="false">IF(C165="","",SUM(L165,T165,U165,W165))</f>
        <v>0</v>
      </c>
      <c r="Y165" s="100" t="str">
        <f aca="false">IF(OR(C165="",H165=""),"",X165-H165)</f>
        <v/>
      </c>
      <c r="Z165" s="88"/>
      <c r="AA165" s="88"/>
      <c r="AB165" s="17"/>
      <c r="AC165" s="17"/>
    </row>
    <row r="166" customFormat="false" ht="240" hidden="false" customHeight="true" outlineLevel="0" collapsed="false">
      <c r="A166" s="88" t="n">
        <f aca="false">IF(C166="","",ROW()-5)</f>
        <v>161</v>
      </c>
      <c r="B166" s="89" t="s">
        <v>374</v>
      </c>
      <c r="C166" s="102" t="s">
        <v>401</v>
      </c>
      <c r="D166" s="103" t="s">
        <v>402</v>
      </c>
      <c r="E166" s="102" t="n">
        <v>1</v>
      </c>
      <c r="F166" s="104" t="s">
        <v>403</v>
      </c>
      <c r="G166" s="92"/>
      <c r="H166" s="93"/>
      <c r="I166" s="17"/>
      <c r="J166" s="94"/>
      <c r="K166" s="17"/>
      <c r="L166" s="95"/>
      <c r="M166" s="18"/>
      <c r="N166" s="96"/>
      <c r="O166" s="96"/>
      <c r="P166" s="97"/>
      <c r="Q166" s="98"/>
      <c r="R166" s="99"/>
      <c r="S166" s="99"/>
      <c r="T166" s="95"/>
      <c r="U166" s="95"/>
      <c r="V166" s="94"/>
      <c r="W166" s="95"/>
      <c r="X166" s="95" t="n">
        <f aca="false">IF(C166="","",SUM(L166,T166,U166,W166))</f>
        <v>0</v>
      </c>
      <c r="Y166" s="100" t="str">
        <f aca="false">IF(OR(C166="",H166=""),"",X166-H166)</f>
        <v/>
      </c>
      <c r="Z166" s="88"/>
      <c r="AA166" s="88"/>
      <c r="AB166" s="17"/>
      <c r="AC166" s="17"/>
    </row>
    <row r="167" customFormat="false" ht="408.75" hidden="false" customHeight="true" outlineLevel="0" collapsed="false">
      <c r="A167" s="88" t="n">
        <f aca="false">IF(C167="","",ROW()-5)</f>
        <v>162</v>
      </c>
      <c r="B167" s="89" t="s">
        <v>374</v>
      </c>
      <c r="C167" s="102" t="s">
        <v>404</v>
      </c>
      <c r="D167" s="103" t="s">
        <v>314</v>
      </c>
      <c r="E167" s="102" t="n">
        <v>1</v>
      </c>
      <c r="F167" s="104" t="s">
        <v>405</v>
      </c>
      <c r="G167" s="92"/>
      <c r="H167" s="93"/>
      <c r="I167" s="17"/>
      <c r="J167" s="94"/>
      <c r="K167" s="17"/>
      <c r="L167" s="95"/>
      <c r="M167" s="18"/>
      <c r="N167" s="96"/>
      <c r="O167" s="96"/>
      <c r="P167" s="97"/>
      <c r="Q167" s="98"/>
      <c r="R167" s="99"/>
      <c r="S167" s="99"/>
      <c r="T167" s="95"/>
      <c r="U167" s="95"/>
      <c r="V167" s="94"/>
      <c r="W167" s="95"/>
      <c r="X167" s="95" t="n">
        <f aca="false">IF(C167="","",SUM(L167,T167,U167,W167))</f>
        <v>0</v>
      </c>
      <c r="Y167" s="100" t="str">
        <f aca="false">IF(OR(C167="",H167=""),"",X167-H167)</f>
        <v/>
      </c>
      <c r="Z167" s="88"/>
      <c r="AA167" s="88"/>
      <c r="AB167" s="17"/>
      <c r="AC167" s="17"/>
    </row>
    <row r="168" customFormat="false" ht="57.75" hidden="false" customHeight="true" outlineLevel="0" collapsed="false">
      <c r="A168" s="88" t="n">
        <f aca="false">IF(C168="","",ROW()-5)</f>
        <v>163</v>
      </c>
      <c r="B168" s="89" t="s">
        <v>374</v>
      </c>
      <c r="C168" s="88" t="s">
        <v>406</v>
      </c>
      <c r="D168" s="103" t="s">
        <v>407</v>
      </c>
      <c r="E168" s="88" t="n">
        <v>1</v>
      </c>
      <c r="F168" s="91" t="s">
        <v>408</v>
      </c>
      <c r="G168" s="92"/>
      <c r="H168" s="93"/>
      <c r="I168" s="17"/>
      <c r="J168" s="94"/>
      <c r="K168" s="17"/>
      <c r="L168" s="95"/>
      <c r="M168" s="18"/>
      <c r="N168" s="96"/>
      <c r="O168" s="96"/>
      <c r="P168" s="97"/>
      <c r="Q168" s="98"/>
      <c r="R168" s="99"/>
      <c r="S168" s="99"/>
      <c r="T168" s="95"/>
      <c r="U168" s="95"/>
      <c r="V168" s="94"/>
      <c r="W168" s="95"/>
      <c r="X168" s="95" t="n">
        <f aca="false">IF(C168="","",SUM(L168,T168,U168,W168))</f>
        <v>0</v>
      </c>
      <c r="Y168" s="100" t="str">
        <f aca="false">IF(OR(C168="",H168=""),"",X168-H168)</f>
        <v/>
      </c>
      <c r="Z168" s="88"/>
      <c r="AA168" s="88"/>
      <c r="AB168" s="17"/>
      <c r="AC168" s="17"/>
    </row>
    <row r="169" customFormat="false" ht="31.5" hidden="false" customHeight="true" outlineLevel="0" collapsed="false">
      <c r="A169" s="88" t="n">
        <f aca="false">IF(C169="","",ROW()-5)</f>
        <v>164</v>
      </c>
      <c r="B169" s="89" t="s">
        <v>374</v>
      </c>
      <c r="C169" s="88" t="s">
        <v>406</v>
      </c>
      <c r="D169" s="103" t="s">
        <v>407</v>
      </c>
      <c r="E169" s="88" t="n">
        <v>2</v>
      </c>
      <c r="F169" s="91" t="s">
        <v>409</v>
      </c>
      <c r="G169" s="92"/>
      <c r="H169" s="93"/>
      <c r="I169" s="17"/>
      <c r="J169" s="94"/>
      <c r="K169" s="17"/>
      <c r="L169" s="95"/>
      <c r="M169" s="18"/>
      <c r="N169" s="96"/>
      <c r="O169" s="96"/>
      <c r="P169" s="97"/>
      <c r="Q169" s="98"/>
      <c r="R169" s="99"/>
      <c r="S169" s="99"/>
      <c r="T169" s="95"/>
      <c r="U169" s="95"/>
      <c r="V169" s="94"/>
      <c r="W169" s="95"/>
      <c r="X169" s="95" t="n">
        <f aca="false">IF(C169="","",SUM(L169,T169,U169,W169))</f>
        <v>0</v>
      </c>
      <c r="Y169" s="100" t="str">
        <f aca="false">IF(OR(C169="",H169=""),"",X169-H169)</f>
        <v/>
      </c>
      <c r="Z169" s="88"/>
      <c r="AA169" s="88"/>
      <c r="AB169" s="17"/>
      <c r="AC169" s="17"/>
    </row>
    <row r="170" customFormat="false" ht="45" hidden="false" customHeight="true" outlineLevel="0" collapsed="false">
      <c r="A170" s="88" t="n">
        <f aca="false">IF(C170="","",ROW()-5)</f>
        <v>165</v>
      </c>
      <c r="B170" s="89" t="s">
        <v>374</v>
      </c>
      <c r="C170" s="88" t="s">
        <v>406</v>
      </c>
      <c r="D170" s="103" t="s">
        <v>407</v>
      </c>
      <c r="E170" s="88" t="n">
        <v>3</v>
      </c>
      <c r="F170" s="91" t="s">
        <v>410</v>
      </c>
      <c r="G170" s="92"/>
      <c r="H170" s="93"/>
      <c r="I170" s="17"/>
      <c r="J170" s="94"/>
      <c r="K170" s="17"/>
      <c r="L170" s="95"/>
      <c r="M170" s="18"/>
      <c r="N170" s="96"/>
      <c r="O170" s="96"/>
      <c r="P170" s="97"/>
      <c r="Q170" s="98"/>
      <c r="R170" s="99"/>
      <c r="S170" s="99"/>
      <c r="T170" s="95"/>
      <c r="U170" s="95"/>
      <c r="V170" s="94"/>
      <c r="W170" s="95"/>
      <c r="X170" s="95" t="n">
        <f aca="false">IF(C170="","",SUM(L170,T170,U170,W170))</f>
        <v>0</v>
      </c>
      <c r="Y170" s="100" t="str">
        <f aca="false">IF(OR(C170="",H170=""),"",X170-H170)</f>
        <v/>
      </c>
      <c r="Z170" s="88"/>
      <c r="AA170" s="88"/>
      <c r="AB170" s="17"/>
      <c r="AC170" s="17"/>
    </row>
    <row r="171" customFormat="false" ht="57.75" hidden="false" customHeight="true" outlineLevel="0" collapsed="false">
      <c r="A171" s="88" t="n">
        <f aca="false">IF(C171="","",ROW()-5)</f>
        <v>166</v>
      </c>
      <c r="B171" s="89" t="s">
        <v>374</v>
      </c>
      <c r="C171" s="88" t="s">
        <v>411</v>
      </c>
      <c r="D171" s="90" t="s">
        <v>412</v>
      </c>
      <c r="E171" s="88" t="n">
        <v>1</v>
      </c>
      <c r="F171" s="91" t="s">
        <v>413</v>
      </c>
      <c r="G171" s="92"/>
      <c r="H171" s="93"/>
      <c r="I171" s="17"/>
      <c r="J171" s="94"/>
      <c r="K171" s="17"/>
      <c r="L171" s="95"/>
      <c r="M171" s="18"/>
      <c r="N171" s="96"/>
      <c r="O171" s="96"/>
      <c r="P171" s="97"/>
      <c r="Q171" s="98"/>
      <c r="R171" s="99"/>
      <c r="S171" s="99"/>
      <c r="T171" s="95"/>
      <c r="U171" s="95"/>
      <c r="V171" s="94"/>
      <c r="W171" s="95"/>
      <c r="X171" s="95" t="n">
        <f aca="false">IF(C171="","",SUM(L171,T171,U171,W171))</f>
        <v>0</v>
      </c>
      <c r="Y171" s="100" t="str">
        <f aca="false">IF(OR(C171="",H171=""),"",X171-H171)</f>
        <v/>
      </c>
      <c r="Z171" s="88"/>
      <c r="AA171" s="88"/>
      <c r="AB171" s="17"/>
      <c r="AC171" s="17"/>
    </row>
    <row r="172" customFormat="false" ht="57.75" hidden="false" customHeight="true" outlineLevel="0" collapsed="false">
      <c r="A172" s="88" t="n">
        <f aca="false">IF(C172="","",ROW()-5)</f>
        <v>167</v>
      </c>
      <c r="B172" s="89" t="s">
        <v>374</v>
      </c>
      <c r="C172" s="88" t="s">
        <v>411</v>
      </c>
      <c r="D172" s="90" t="s">
        <v>412</v>
      </c>
      <c r="E172" s="88" t="n">
        <v>2</v>
      </c>
      <c r="F172" s="101" t="s">
        <v>414</v>
      </c>
      <c r="G172" s="92"/>
      <c r="H172" s="93"/>
      <c r="I172" s="17"/>
      <c r="J172" s="94"/>
      <c r="K172" s="17"/>
      <c r="L172" s="95"/>
      <c r="M172" s="18"/>
      <c r="N172" s="96"/>
      <c r="O172" s="96"/>
      <c r="P172" s="97"/>
      <c r="Q172" s="98"/>
      <c r="R172" s="99"/>
      <c r="S172" s="99"/>
      <c r="T172" s="95"/>
      <c r="U172" s="95"/>
      <c r="V172" s="94"/>
      <c r="W172" s="95"/>
      <c r="X172" s="95" t="n">
        <f aca="false">IF(C172="","",SUM(L172,T172,U172,W172))</f>
        <v>0</v>
      </c>
      <c r="Y172" s="100" t="str">
        <f aca="false">IF(OR(C172="",H172=""),"",X172-H172)</f>
        <v/>
      </c>
      <c r="Z172" s="88"/>
      <c r="AA172" s="88"/>
      <c r="AB172" s="17"/>
      <c r="AC172" s="17"/>
    </row>
    <row r="173" customFormat="false" ht="45" hidden="false" customHeight="true" outlineLevel="0" collapsed="false">
      <c r="A173" s="88" t="n">
        <f aca="false">IF(C173="","",ROW()-5)</f>
        <v>168</v>
      </c>
      <c r="B173" s="89" t="s">
        <v>374</v>
      </c>
      <c r="C173" s="88" t="s">
        <v>411</v>
      </c>
      <c r="D173" s="90" t="s">
        <v>412</v>
      </c>
      <c r="E173" s="88" t="n">
        <v>3</v>
      </c>
      <c r="F173" s="101" t="s">
        <v>415</v>
      </c>
      <c r="G173" s="92"/>
      <c r="H173" s="93"/>
      <c r="I173" s="17"/>
      <c r="J173" s="94"/>
      <c r="K173" s="17"/>
      <c r="L173" s="95"/>
      <c r="M173" s="18"/>
      <c r="N173" s="96"/>
      <c r="O173" s="96"/>
      <c r="P173" s="97"/>
      <c r="Q173" s="98"/>
      <c r="R173" s="99"/>
      <c r="S173" s="99"/>
      <c r="T173" s="95"/>
      <c r="U173" s="95"/>
      <c r="V173" s="94"/>
      <c r="W173" s="95"/>
      <c r="X173" s="95" t="n">
        <f aca="false">IF(C173="","",SUM(L173,T173,U173,W173))</f>
        <v>0</v>
      </c>
      <c r="Y173" s="100" t="str">
        <f aca="false">IF(OR(C173="",H173=""),"",X173-H173)</f>
        <v/>
      </c>
      <c r="Z173" s="88"/>
      <c r="AA173" s="88"/>
      <c r="AB173" s="17"/>
      <c r="AC173" s="17"/>
    </row>
    <row r="174" customFormat="false" ht="45" hidden="false" customHeight="true" outlineLevel="0" collapsed="false">
      <c r="A174" s="88" t="n">
        <f aca="false">IF(C174="","",ROW()-5)</f>
        <v>169</v>
      </c>
      <c r="B174" s="89" t="s">
        <v>374</v>
      </c>
      <c r="C174" s="88" t="s">
        <v>411</v>
      </c>
      <c r="D174" s="90" t="s">
        <v>412</v>
      </c>
      <c r="E174" s="88" t="n">
        <v>4</v>
      </c>
      <c r="F174" s="101" t="s">
        <v>416</v>
      </c>
      <c r="G174" s="92"/>
      <c r="H174" s="93"/>
      <c r="I174" s="17"/>
      <c r="J174" s="94"/>
      <c r="K174" s="17"/>
      <c r="L174" s="95"/>
      <c r="M174" s="18"/>
      <c r="N174" s="96"/>
      <c r="O174" s="96"/>
      <c r="P174" s="97"/>
      <c r="Q174" s="98"/>
      <c r="R174" s="99"/>
      <c r="S174" s="99"/>
      <c r="T174" s="95"/>
      <c r="U174" s="95"/>
      <c r="V174" s="94"/>
      <c r="W174" s="95"/>
      <c r="X174" s="95" t="n">
        <f aca="false">IF(C174="","",SUM(L174,T174,U174,W174))</f>
        <v>0</v>
      </c>
      <c r="Y174" s="100" t="str">
        <f aca="false">IF(OR(C174="",H174=""),"",X174-H174)</f>
        <v/>
      </c>
      <c r="Z174" s="88"/>
      <c r="AA174" s="88"/>
      <c r="AB174" s="17"/>
      <c r="AC174" s="17"/>
    </row>
    <row r="175" customFormat="false" ht="45" hidden="false" customHeight="true" outlineLevel="0" collapsed="false">
      <c r="A175" s="88" t="n">
        <f aca="false">IF(C175="","",ROW()-5)</f>
        <v>170</v>
      </c>
      <c r="B175" s="89" t="s">
        <v>374</v>
      </c>
      <c r="C175" s="88" t="s">
        <v>417</v>
      </c>
      <c r="D175" s="103" t="s">
        <v>418</v>
      </c>
      <c r="E175" s="88" t="n">
        <v>1</v>
      </c>
      <c r="F175" s="91" t="s">
        <v>419</v>
      </c>
      <c r="G175" s="92"/>
      <c r="H175" s="93"/>
      <c r="I175" s="17"/>
      <c r="J175" s="94"/>
      <c r="K175" s="17"/>
      <c r="L175" s="95"/>
      <c r="M175" s="18"/>
      <c r="N175" s="96"/>
      <c r="O175" s="96"/>
      <c r="P175" s="97"/>
      <c r="Q175" s="98"/>
      <c r="R175" s="99"/>
      <c r="S175" s="99"/>
      <c r="T175" s="95"/>
      <c r="U175" s="95"/>
      <c r="V175" s="94"/>
      <c r="W175" s="95"/>
      <c r="X175" s="95" t="n">
        <f aca="false">IF(C175="","",SUM(L175,T175,U175,W175))</f>
        <v>0</v>
      </c>
      <c r="Y175" s="100" t="str">
        <f aca="false">IF(OR(C175="",H175=""),"",X175-H175)</f>
        <v/>
      </c>
      <c r="Z175" s="88"/>
      <c r="AA175" s="88"/>
      <c r="AB175" s="17"/>
      <c r="AC175" s="17"/>
    </row>
    <row r="176" customFormat="false" ht="45" hidden="false" customHeight="true" outlineLevel="0" collapsed="false">
      <c r="A176" s="88" t="n">
        <f aca="false">IF(C176="","",ROW()-5)</f>
        <v>171</v>
      </c>
      <c r="B176" s="89" t="s">
        <v>374</v>
      </c>
      <c r="C176" s="88" t="s">
        <v>417</v>
      </c>
      <c r="D176" s="103" t="s">
        <v>418</v>
      </c>
      <c r="E176" s="88" t="n">
        <v>2</v>
      </c>
      <c r="F176" s="91" t="s">
        <v>420</v>
      </c>
      <c r="G176" s="92"/>
      <c r="H176" s="93"/>
      <c r="I176" s="17"/>
      <c r="J176" s="94"/>
      <c r="K176" s="17"/>
      <c r="L176" s="95"/>
      <c r="M176" s="18"/>
      <c r="N176" s="96"/>
      <c r="O176" s="96"/>
      <c r="P176" s="97"/>
      <c r="Q176" s="98"/>
      <c r="R176" s="99"/>
      <c r="S176" s="99"/>
      <c r="T176" s="95"/>
      <c r="U176" s="95"/>
      <c r="V176" s="94"/>
      <c r="W176" s="95"/>
      <c r="X176" s="95" t="n">
        <f aca="false">IF(C176="","",SUM(L176,T176,U176,W176))</f>
        <v>0</v>
      </c>
      <c r="Y176" s="100" t="str">
        <f aca="false">IF(OR(C176="",H176=""),"",X176-H176)</f>
        <v/>
      </c>
      <c r="Z176" s="88"/>
      <c r="AA176" s="88"/>
      <c r="AB176" s="17"/>
      <c r="AC176" s="17"/>
    </row>
    <row r="177" customFormat="false" ht="109.5" hidden="false" customHeight="true" outlineLevel="0" collapsed="false">
      <c r="A177" s="88" t="n">
        <f aca="false">IF(C177="","",ROW()-5)</f>
        <v>172</v>
      </c>
      <c r="B177" s="89" t="s">
        <v>374</v>
      </c>
      <c r="C177" s="88" t="s">
        <v>417</v>
      </c>
      <c r="D177" s="103" t="s">
        <v>418</v>
      </c>
      <c r="E177" s="88" t="n">
        <v>3</v>
      </c>
      <c r="F177" s="91" t="s">
        <v>421</v>
      </c>
      <c r="G177" s="92"/>
      <c r="H177" s="93"/>
      <c r="I177" s="17"/>
      <c r="J177" s="94"/>
      <c r="K177" s="17"/>
      <c r="L177" s="95"/>
      <c r="M177" s="18"/>
      <c r="N177" s="96"/>
      <c r="O177" s="96"/>
      <c r="P177" s="97"/>
      <c r="Q177" s="98"/>
      <c r="R177" s="99"/>
      <c r="S177" s="99"/>
      <c r="T177" s="95"/>
      <c r="U177" s="95"/>
      <c r="V177" s="94"/>
      <c r="W177" s="95"/>
      <c r="X177" s="95" t="n">
        <f aca="false">IF(C177="","",SUM(L177,T177,U177,W177))</f>
        <v>0</v>
      </c>
      <c r="Y177" s="100" t="str">
        <f aca="false">IF(OR(C177="",H177=""),"",X177-H177)</f>
        <v/>
      </c>
      <c r="Z177" s="88"/>
      <c r="AA177" s="88"/>
      <c r="AB177" s="17"/>
      <c r="AC177" s="17"/>
    </row>
    <row r="178" customFormat="false" ht="45" hidden="false" customHeight="true" outlineLevel="0" collapsed="false">
      <c r="A178" s="88" t="n">
        <f aca="false">IF(C178="","",ROW()-5)</f>
        <v>173</v>
      </c>
      <c r="B178" s="89" t="s">
        <v>374</v>
      </c>
      <c r="C178" s="88" t="s">
        <v>422</v>
      </c>
      <c r="D178" s="103" t="s">
        <v>423</v>
      </c>
      <c r="E178" s="88" t="n">
        <v>1</v>
      </c>
      <c r="F178" s="91" t="s">
        <v>424</v>
      </c>
      <c r="G178" s="92"/>
      <c r="H178" s="93"/>
      <c r="I178" s="17"/>
      <c r="J178" s="94"/>
      <c r="K178" s="17"/>
      <c r="L178" s="95"/>
      <c r="M178" s="18"/>
      <c r="N178" s="96"/>
      <c r="O178" s="96"/>
      <c r="P178" s="97"/>
      <c r="Q178" s="98"/>
      <c r="R178" s="99"/>
      <c r="S178" s="99"/>
      <c r="T178" s="95"/>
      <c r="U178" s="95"/>
      <c r="V178" s="94"/>
      <c r="W178" s="95"/>
      <c r="X178" s="95" t="n">
        <f aca="false">IF(C178="","",SUM(L178,T178,U178,W178))</f>
        <v>0</v>
      </c>
      <c r="Y178" s="100" t="str">
        <f aca="false">IF(OR(C178="",H178=""),"",X178-H178)</f>
        <v/>
      </c>
      <c r="Z178" s="88"/>
      <c r="AA178" s="88"/>
      <c r="AB178" s="17"/>
      <c r="AC178" s="17"/>
    </row>
    <row r="179" customFormat="false" ht="57.75" hidden="false" customHeight="true" outlineLevel="0" collapsed="false">
      <c r="A179" s="88" t="n">
        <f aca="false">IF(C179="","",ROW()-5)</f>
        <v>174</v>
      </c>
      <c r="B179" s="89" t="s">
        <v>374</v>
      </c>
      <c r="C179" s="88" t="s">
        <v>422</v>
      </c>
      <c r="D179" s="103" t="s">
        <v>423</v>
      </c>
      <c r="E179" s="88" t="n">
        <v>2</v>
      </c>
      <c r="F179" s="91" t="s">
        <v>425</v>
      </c>
      <c r="G179" s="92"/>
      <c r="H179" s="93"/>
      <c r="I179" s="17"/>
      <c r="J179" s="94"/>
      <c r="K179" s="17"/>
      <c r="L179" s="95"/>
      <c r="M179" s="18"/>
      <c r="N179" s="96"/>
      <c r="O179" s="96"/>
      <c r="P179" s="97"/>
      <c r="Q179" s="98"/>
      <c r="R179" s="99"/>
      <c r="S179" s="99"/>
      <c r="T179" s="95"/>
      <c r="U179" s="95"/>
      <c r="V179" s="94"/>
      <c r="W179" s="95"/>
      <c r="X179" s="95" t="n">
        <f aca="false">IF(C179="","",SUM(L179,T179,U179,W179))</f>
        <v>0</v>
      </c>
      <c r="Y179" s="100" t="str">
        <f aca="false">IF(OR(C179="",H179=""),"",X179-H179)</f>
        <v/>
      </c>
      <c r="Z179" s="88"/>
      <c r="AA179" s="88"/>
      <c r="AB179" s="17"/>
      <c r="AC179" s="17"/>
    </row>
    <row r="180" customFormat="false" ht="45" hidden="false" customHeight="true" outlineLevel="0" collapsed="false">
      <c r="A180" s="88" t="n">
        <f aca="false">IF(C180="","",ROW()-5)</f>
        <v>175</v>
      </c>
      <c r="B180" s="89" t="s">
        <v>374</v>
      </c>
      <c r="C180" s="88" t="s">
        <v>422</v>
      </c>
      <c r="D180" s="103" t="s">
        <v>423</v>
      </c>
      <c r="E180" s="88" t="n">
        <v>3</v>
      </c>
      <c r="F180" s="91" t="s">
        <v>426</v>
      </c>
      <c r="G180" s="92"/>
      <c r="H180" s="93"/>
      <c r="I180" s="17"/>
      <c r="J180" s="94"/>
      <c r="K180" s="17"/>
      <c r="L180" s="95"/>
      <c r="M180" s="18"/>
      <c r="N180" s="96"/>
      <c r="O180" s="96"/>
      <c r="P180" s="97"/>
      <c r="Q180" s="98"/>
      <c r="R180" s="99"/>
      <c r="S180" s="99"/>
      <c r="T180" s="95"/>
      <c r="U180" s="95"/>
      <c r="V180" s="94"/>
      <c r="W180" s="95"/>
      <c r="X180" s="95" t="n">
        <f aca="false">IF(C180="","",SUM(L180,T180,U180,W180))</f>
        <v>0</v>
      </c>
      <c r="Y180" s="100" t="str">
        <f aca="false">IF(OR(C180="",H180=""),"",X180-H180)</f>
        <v/>
      </c>
      <c r="Z180" s="88"/>
      <c r="AA180" s="88"/>
      <c r="AB180" s="17"/>
      <c r="AC180" s="17"/>
    </row>
    <row r="181" customFormat="false" ht="109.5" hidden="false" customHeight="true" outlineLevel="0" collapsed="false">
      <c r="A181" s="88" t="n">
        <f aca="false">IF(C181="","",ROW()-5)</f>
        <v>176</v>
      </c>
      <c r="B181" s="89" t="s">
        <v>374</v>
      </c>
      <c r="C181" s="88" t="s">
        <v>422</v>
      </c>
      <c r="D181" s="103" t="s">
        <v>423</v>
      </c>
      <c r="E181" s="88" t="n">
        <v>4</v>
      </c>
      <c r="F181" s="91" t="s">
        <v>427</v>
      </c>
      <c r="G181" s="92"/>
      <c r="H181" s="93"/>
      <c r="I181" s="17"/>
      <c r="J181" s="94"/>
      <c r="K181" s="17"/>
      <c r="L181" s="95"/>
      <c r="M181" s="18"/>
      <c r="N181" s="96"/>
      <c r="O181" s="96"/>
      <c r="P181" s="97"/>
      <c r="Q181" s="98"/>
      <c r="R181" s="99"/>
      <c r="S181" s="99"/>
      <c r="T181" s="95"/>
      <c r="U181" s="95"/>
      <c r="V181" s="94"/>
      <c r="W181" s="95"/>
      <c r="X181" s="95" t="n">
        <f aca="false">IF(C181="","",SUM(L181,T181,U181,W181))</f>
        <v>0</v>
      </c>
      <c r="Y181" s="100" t="str">
        <f aca="false">IF(OR(C181="",H181=""),"",X181-H181)</f>
        <v/>
      </c>
      <c r="Z181" s="88"/>
      <c r="AA181" s="88"/>
      <c r="AB181" s="17"/>
      <c r="AC181" s="17"/>
    </row>
    <row r="182" customFormat="false" ht="70.5" hidden="false" customHeight="true" outlineLevel="0" collapsed="false">
      <c r="A182" s="88" t="n">
        <f aca="false">IF(C182="","",ROW()-5)</f>
        <v>177</v>
      </c>
      <c r="B182" s="89" t="s">
        <v>374</v>
      </c>
      <c r="C182" s="88" t="s">
        <v>422</v>
      </c>
      <c r="D182" s="103" t="s">
        <v>423</v>
      </c>
      <c r="E182" s="88" t="n">
        <v>5</v>
      </c>
      <c r="F182" s="91" t="s">
        <v>428</v>
      </c>
      <c r="G182" s="92"/>
      <c r="H182" s="93"/>
      <c r="I182" s="17"/>
      <c r="J182" s="94"/>
      <c r="K182" s="17"/>
      <c r="L182" s="95"/>
      <c r="M182" s="18"/>
      <c r="N182" s="96"/>
      <c r="O182" s="96"/>
      <c r="P182" s="97"/>
      <c r="Q182" s="98"/>
      <c r="R182" s="99"/>
      <c r="S182" s="99"/>
      <c r="T182" s="95"/>
      <c r="U182" s="95"/>
      <c r="V182" s="94"/>
      <c r="W182" s="95"/>
      <c r="X182" s="95" t="n">
        <f aca="false">IF(C182="","",SUM(L182,T182,U182,W182))</f>
        <v>0</v>
      </c>
      <c r="Y182" s="100" t="str">
        <f aca="false">IF(OR(C182="",H182=""),"",X182-H182)</f>
        <v/>
      </c>
      <c r="Z182" s="88"/>
      <c r="AA182" s="88"/>
      <c r="AB182" s="17"/>
      <c r="AC182" s="17"/>
    </row>
    <row r="183" customFormat="false" ht="45" hidden="false" customHeight="true" outlineLevel="0" collapsed="false">
      <c r="A183" s="88" t="n">
        <f aca="false">IF(C183="","",ROW()-5)</f>
        <v>178</v>
      </c>
      <c r="B183" s="89" t="s">
        <v>374</v>
      </c>
      <c r="C183" s="88" t="s">
        <v>422</v>
      </c>
      <c r="D183" s="103" t="s">
        <v>423</v>
      </c>
      <c r="E183" s="88" t="n">
        <v>6</v>
      </c>
      <c r="F183" s="91" t="s">
        <v>429</v>
      </c>
      <c r="G183" s="92"/>
      <c r="H183" s="93"/>
      <c r="I183" s="17"/>
      <c r="J183" s="94"/>
      <c r="K183" s="17"/>
      <c r="L183" s="95"/>
      <c r="M183" s="18"/>
      <c r="N183" s="96"/>
      <c r="O183" s="96"/>
      <c r="P183" s="97"/>
      <c r="Q183" s="98"/>
      <c r="R183" s="99"/>
      <c r="S183" s="99"/>
      <c r="T183" s="95"/>
      <c r="U183" s="95"/>
      <c r="V183" s="94"/>
      <c r="W183" s="95"/>
      <c r="X183" s="95" t="n">
        <f aca="false">IF(C183="","",SUM(L183,T183,U183,W183))</f>
        <v>0</v>
      </c>
      <c r="Y183" s="100" t="str">
        <f aca="false">IF(OR(C183="",H183=""),"",X183-H183)</f>
        <v/>
      </c>
      <c r="Z183" s="88"/>
      <c r="AA183" s="88"/>
      <c r="AB183" s="17"/>
      <c r="AC183" s="17"/>
    </row>
    <row r="184" customFormat="false" ht="57.75" hidden="false" customHeight="true" outlineLevel="0" collapsed="false">
      <c r="A184" s="88" t="n">
        <f aca="false">IF(C184="","",ROW()-5)</f>
        <v>179</v>
      </c>
      <c r="B184" s="89" t="s">
        <v>374</v>
      </c>
      <c r="C184" s="88" t="s">
        <v>430</v>
      </c>
      <c r="D184" s="103" t="s">
        <v>431</v>
      </c>
      <c r="E184" s="88" t="n">
        <v>1</v>
      </c>
      <c r="F184" s="91" t="s">
        <v>432</v>
      </c>
      <c r="G184" s="92"/>
      <c r="H184" s="93"/>
      <c r="I184" s="17"/>
      <c r="J184" s="94"/>
      <c r="K184" s="17"/>
      <c r="L184" s="95"/>
      <c r="M184" s="18"/>
      <c r="N184" s="96"/>
      <c r="O184" s="96"/>
      <c r="P184" s="97"/>
      <c r="Q184" s="98"/>
      <c r="R184" s="99"/>
      <c r="S184" s="99"/>
      <c r="T184" s="95"/>
      <c r="U184" s="95"/>
      <c r="V184" s="94"/>
      <c r="W184" s="95"/>
      <c r="X184" s="95" t="n">
        <f aca="false">IF(C184="","",SUM(L184,T184,U184,W184))</f>
        <v>0</v>
      </c>
      <c r="Y184" s="100" t="str">
        <f aca="false">IF(OR(C184="",H184=""),"",X184-H184)</f>
        <v/>
      </c>
      <c r="Z184" s="88"/>
      <c r="AA184" s="88"/>
      <c r="AB184" s="17"/>
      <c r="AC184" s="17"/>
    </row>
    <row r="185" customFormat="false" ht="57.75" hidden="false" customHeight="true" outlineLevel="0" collapsed="false">
      <c r="A185" s="88" t="n">
        <f aca="false">IF(C185="","",ROW()-5)</f>
        <v>180</v>
      </c>
      <c r="B185" s="89" t="s">
        <v>374</v>
      </c>
      <c r="C185" s="88" t="s">
        <v>430</v>
      </c>
      <c r="D185" s="103" t="s">
        <v>431</v>
      </c>
      <c r="E185" s="88" t="n">
        <v>2</v>
      </c>
      <c r="F185" s="91" t="s">
        <v>433</v>
      </c>
      <c r="G185" s="92"/>
      <c r="H185" s="93"/>
      <c r="I185" s="17"/>
      <c r="J185" s="94"/>
      <c r="K185" s="17"/>
      <c r="L185" s="95"/>
      <c r="M185" s="18"/>
      <c r="N185" s="96"/>
      <c r="O185" s="96"/>
      <c r="P185" s="97"/>
      <c r="Q185" s="98"/>
      <c r="R185" s="99"/>
      <c r="S185" s="99"/>
      <c r="T185" s="95"/>
      <c r="U185" s="95"/>
      <c r="V185" s="94"/>
      <c r="W185" s="95"/>
      <c r="X185" s="95" t="n">
        <f aca="false">IF(C185="","",SUM(L185,T185,U185,W185))</f>
        <v>0</v>
      </c>
      <c r="Y185" s="100" t="str">
        <f aca="false">IF(OR(C185="",H185=""),"",X185-H185)</f>
        <v/>
      </c>
      <c r="Z185" s="88"/>
      <c r="AA185" s="88"/>
      <c r="AB185" s="17"/>
      <c r="AC185" s="17"/>
    </row>
    <row r="186" customFormat="false" ht="57.75" hidden="false" customHeight="true" outlineLevel="0" collapsed="false">
      <c r="A186" s="88" t="n">
        <f aca="false">IF(C186="","",ROW()-5)</f>
        <v>181</v>
      </c>
      <c r="B186" s="89" t="s">
        <v>374</v>
      </c>
      <c r="C186" s="88" t="s">
        <v>430</v>
      </c>
      <c r="D186" s="103" t="s">
        <v>431</v>
      </c>
      <c r="E186" s="88" t="n">
        <v>3</v>
      </c>
      <c r="F186" s="91" t="s">
        <v>434</v>
      </c>
      <c r="G186" s="92"/>
      <c r="H186" s="93"/>
      <c r="I186" s="17"/>
      <c r="J186" s="94"/>
      <c r="K186" s="17"/>
      <c r="L186" s="95"/>
      <c r="M186" s="18"/>
      <c r="N186" s="96"/>
      <c r="O186" s="96"/>
      <c r="P186" s="97"/>
      <c r="Q186" s="98"/>
      <c r="R186" s="99"/>
      <c r="S186" s="99"/>
      <c r="T186" s="95"/>
      <c r="U186" s="95"/>
      <c r="V186" s="94"/>
      <c r="W186" s="95"/>
      <c r="X186" s="95" t="n">
        <f aca="false">IF(C186="","",SUM(L186,T186,U186,W186))</f>
        <v>0</v>
      </c>
      <c r="Y186" s="100" t="str">
        <f aca="false">IF(OR(C186="",H186=""),"",X186-H186)</f>
        <v/>
      </c>
      <c r="Z186" s="88"/>
      <c r="AA186" s="88"/>
      <c r="AB186" s="17"/>
      <c r="AC186" s="17"/>
    </row>
    <row r="187" customFormat="false" ht="70.5" hidden="false" customHeight="true" outlineLevel="0" collapsed="false">
      <c r="A187" s="88" t="n">
        <f aca="false">IF(C187="","",ROW()-5)</f>
        <v>182</v>
      </c>
      <c r="B187" s="89" t="s">
        <v>374</v>
      </c>
      <c r="C187" s="88" t="s">
        <v>435</v>
      </c>
      <c r="D187" s="103" t="s">
        <v>436</v>
      </c>
      <c r="E187" s="88" t="n">
        <v>1</v>
      </c>
      <c r="F187" s="91" t="s">
        <v>437</v>
      </c>
      <c r="G187" s="92"/>
      <c r="H187" s="93"/>
      <c r="I187" s="17"/>
      <c r="J187" s="94"/>
      <c r="K187" s="17"/>
      <c r="L187" s="95"/>
      <c r="M187" s="18"/>
      <c r="N187" s="96"/>
      <c r="O187" s="96"/>
      <c r="P187" s="97"/>
      <c r="Q187" s="98"/>
      <c r="R187" s="99"/>
      <c r="S187" s="99"/>
      <c r="T187" s="95"/>
      <c r="U187" s="95"/>
      <c r="V187" s="94"/>
      <c r="W187" s="95"/>
      <c r="X187" s="95" t="n">
        <f aca="false">IF(C187="","",SUM(L187,T187,U187,W187))</f>
        <v>0</v>
      </c>
      <c r="Y187" s="100" t="str">
        <f aca="false">IF(OR(C187="",H187=""),"",X187-H187)</f>
        <v/>
      </c>
      <c r="Z187" s="88"/>
      <c r="AA187" s="88"/>
      <c r="AB187" s="17"/>
      <c r="AC187" s="17"/>
    </row>
    <row r="188" customFormat="false" ht="343.5" hidden="false" customHeight="true" outlineLevel="0" collapsed="false">
      <c r="A188" s="88" t="n">
        <f aca="false">IF(C188="","",ROW()-5)</f>
        <v>183</v>
      </c>
      <c r="B188" s="89" t="s">
        <v>374</v>
      </c>
      <c r="C188" s="88" t="s">
        <v>435</v>
      </c>
      <c r="D188" s="103" t="s">
        <v>436</v>
      </c>
      <c r="E188" s="88" t="n">
        <v>2</v>
      </c>
      <c r="F188" s="91" t="s">
        <v>438</v>
      </c>
      <c r="G188" s="92"/>
      <c r="H188" s="93"/>
      <c r="I188" s="17"/>
      <c r="J188" s="94"/>
      <c r="K188" s="17"/>
      <c r="L188" s="95"/>
      <c r="M188" s="18"/>
      <c r="N188" s="96"/>
      <c r="O188" s="96"/>
      <c r="P188" s="97"/>
      <c r="Q188" s="98"/>
      <c r="R188" s="99"/>
      <c r="S188" s="99"/>
      <c r="T188" s="95"/>
      <c r="U188" s="95"/>
      <c r="V188" s="94"/>
      <c r="W188" s="95"/>
      <c r="X188" s="95" t="n">
        <f aca="false">IF(C188="","",SUM(L188,T188,U188,W188))</f>
        <v>0</v>
      </c>
      <c r="Y188" s="100" t="str">
        <f aca="false">IF(OR(C188="",H188=""),"",X188-H188)</f>
        <v/>
      </c>
      <c r="Z188" s="88"/>
      <c r="AA188" s="88"/>
      <c r="AB188" s="17"/>
      <c r="AC188" s="17"/>
    </row>
    <row r="189" customFormat="false" ht="135.75" hidden="false" customHeight="true" outlineLevel="0" collapsed="false">
      <c r="A189" s="88" t="n">
        <f aca="false">IF(C189="","",ROW()-5)</f>
        <v>184</v>
      </c>
      <c r="B189" s="89" t="s">
        <v>374</v>
      </c>
      <c r="C189" s="88" t="s">
        <v>439</v>
      </c>
      <c r="D189" s="103" t="s">
        <v>440</v>
      </c>
      <c r="E189" s="88" t="n">
        <v>1</v>
      </c>
      <c r="F189" s="91" t="s">
        <v>441</v>
      </c>
      <c r="G189" s="92"/>
      <c r="H189" s="93"/>
      <c r="I189" s="17"/>
      <c r="J189" s="94"/>
      <c r="K189" s="17"/>
      <c r="L189" s="95"/>
      <c r="M189" s="18"/>
      <c r="N189" s="96"/>
      <c r="O189" s="96"/>
      <c r="P189" s="97"/>
      <c r="Q189" s="98"/>
      <c r="R189" s="99"/>
      <c r="S189" s="99"/>
      <c r="T189" s="95"/>
      <c r="U189" s="95"/>
      <c r="V189" s="94"/>
      <c r="W189" s="95"/>
      <c r="X189" s="95" t="n">
        <f aca="false">IF(C189="","",SUM(L189,T189,U189,W189))</f>
        <v>0</v>
      </c>
      <c r="Y189" s="100" t="str">
        <f aca="false">IF(OR(C189="",H189=""),"",X189-H189)</f>
        <v/>
      </c>
      <c r="Z189" s="88"/>
      <c r="AA189" s="88"/>
      <c r="AB189" s="17"/>
      <c r="AC189" s="17"/>
    </row>
    <row r="190" customFormat="false" ht="96.75" hidden="false" customHeight="true" outlineLevel="0" collapsed="false">
      <c r="A190" s="88" t="n">
        <f aca="false">IF(C190="","",ROW()-5)</f>
        <v>185</v>
      </c>
      <c r="B190" s="89" t="s">
        <v>374</v>
      </c>
      <c r="C190" s="88" t="s">
        <v>439</v>
      </c>
      <c r="D190" s="103" t="s">
        <v>440</v>
      </c>
      <c r="E190" s="88" t="n">
        <v>2</v>
      </c>
      <c r="F190" s="91" t="s">
        <v>442</v>
      </c>
      <c r="G190" s="92"/>
      <c r="H190" s="93"/>
      <c r="I190" s="17"/>
      <c r="J190" s="94"/>
      <c r="K190" s="17"/>
      <c r="L190" s="95"/>
      <c r="M190" s="18"/>
      <c r="N190" s="96"/>
      <c r="O190" s="96"/>
      <c r="P190" s="97"/>
      <c r="Q190" s="98"/>
      <c r="R190" s="99"/>
      <c r="S190" s="99"/>
      <c r="T190" s="95"/>
      <c r="U190" s="95"/>
      <c r="V190" s="94"/>
      <c r="W190" s="95"/>
      <c r="X190" s="95" t="n">
        <f aca="false">IF(C190="","",SUM(L190,T190,U190,W190))</f>
        <v>0</v>
      </c>
      <c r="Y190" s="100" t="str">
        <f aca="false">IF(OR(C190="",H190=""),"",X190-H190)</f>
        <v/>
      </c>
      <c r="Z190" s="88"/>
      <c r="AA190" s="88"/>
      <c r="AB190" s="17"/>
      <c r="AC190" s="17"/>
    </row>
    <row r="191" customFormat="false" ht="57.75" hidden="false" customHeight="true" outlineLevel="0" collapsed="false">
      <c r="A191" s="88" t="n">
        <f aca="false">IF(C191="","",ROW()-5)</f>
        <v>186</v>
      </c>
      <c r="B191" s="89" t="s">
        <v>374</v>
      </c>
      <c r="C191" s="88" t="s">
        <v>439</v>
      </c>
      <c r="D191" s="103" t="s">
        <v>440</v>
      </c>
      <c r="E191" s="88" t="n">
        <v>3</v>
      </c>
      <c r="F191" s="91" t="s">
        <v>443</v>
      </c>
      <c r="G191" s="92"/>
      <c r="H191" s="93"/>
      <c r="I191" s="17"/>
      <c r="J191" s="94"/>
      <c r="K191" s="17"/>
      <c r="L191" s="95"/>
      <c r="M191" s="18"/>
      <c r="N191" s="96"/>
      <c r="O191" s="96"/>
      <c r="P191" s="97"/>
      <c r="Q191" s="98"/>
      <c r="R191" s="99"/>
      <c r="S191" s="99"/>
      <c r="T191" s="95"/>
      <c r="U191" s="95"/>
      <c r="V191" s="94"/>
      <c r="W191" s="95"/>
      <c r="X191" s="95" t="n">
        <f aca="false">IF(C191="","",SUM(L191,T191,U191,W191))</f>
        <v>0</v>
      </c>
      <c r="Y191" s="100" t="str">
        <f aca="false">IF(OR(C191="",H191=""),"",X191-H191)</f>
        <v/>
      </c>
      <c r="Z191" s="88"/>
      <c r="AA191" s="88"/>
      <c r="AB191" s="17"/>
      <c r="AC191" s="17"/>
    </row>
    <row r="192" customFormat="false" ht="45" hidden="false" customHeight="true" outlineLevel="0" collapsed="false">
      <c r="A192" s="88" t="n">
        <f aca="false">IF(C192="","",ROW()-5)</f>
        <v>187</v>
      </c>
      <c r="B192" s="89" t="s">
        <v>374</v>
      </c>
      <c r="C192" s="88" t="s">
        <v>439</v>
      </c>
      <c r="D192" s="103" t="s">
        <v>440</v>
      </c>
      <c r="E192" s="88" t="n">
        <v>4</v>
      </c>
      <c r="F192" s="91" t="s">
        <v>444</v>
      </c>
      <c r="G192" s="92"/>
      <c r="H192" s="93"/>
      <c r="I192" s="17"/>
      <c r="J192" s="94"/>
      <c r="K192" s="17"/>
      <c r="L192" s="95"/>
      <c r="M192" s="18"/>
      <c r="N192" s="96"/>
      <c r="O192" s="96"/>
      <c r="P192" s="97"/>
      <c r="Q192" s="98"/>
      <c r="R192" s="99"/>
      <c r="S192" s="99"/>
      <c r="T192" s="95"/>
      <c r="U192" s="95"/>
      <c r="V192" s="94"/>
      <c r="W192" s="95"/>
      <c r="X192" s="95" t="n">
        <f aca="false">IF(C192="","",SUM(L192,T192,U192,W192))</f>
        <v>0</v>
      </c>
      <c r="Y192" s="100" t="str">
        <f aca="false">IF(OR(C192="",H192=""),"",X192-H192)</f>
        <v/>
      </c>
      <c r="Z192" s="88"/>
      <c r="AA192" s="88"/>
      <c r="AB192" s="17"/>
      <c r="AC192" s="17"/>
    </row>
    <row r="193" customFormat="false" ht="70.5" hidden="false" customHeight="true" outlineLevel="0" collapsed="false">
      <c r="A193" s="88" t="n">
        <f aca="false">IF(C193="","",ROW()-5)</f>
        <v>188</v>
      </c>
      <c r="B193" s="89" t="s">
        <v>374</v>
      </c>
      <c r="C193" s="88" t="s">
        <v>439</v>
      </c>
      <c r="D193" s="103" t="s">
        <v>440</v>
      </c>
      <c r="E193" s="88" t="n">
        <v>5</v>
      </c>
      <c r="F193" s="91" t="s">
        <v>445</v>
      </c>
      <c r="G193" s="92"/>
      <c r="H193" s="93"/>
      <c r="I193" s="17"/>
      <c r="J193" s="94"/>
      <c r="K193" s="17"/>
      <c r="L193" s="95"/>
      <c r="M193" s="18"/>
      <c r="N193" s="96"/>
      <c r="O193" s="96"/>
      <c r="P193" s="97"/>
      <c r="Q193" s="98"/>
      <c r="R193" s="99"/>
      <c r="S193" s="99"/>
      <c r="T193" s="95"/>
      <c r="U193" s="95"/>
      <c r="V193" s="94"/>
      <c r="W193" s="95"/>
      <c r="X193" s="95" t="n">
        <f aca="false">IF(C193="","",SUM(L193,T193,U193,W193))</f>
        <v>0</v>
      </c>
      <c r="Y193" s="100" t="str">
        <f aca="false">IF(OR(C193="",H193=""),"",X193-H193)</f>
        <v/>
      </c>
      <c r="Z193" s="88"/>
      <c r="AA193" s="88"/>
      <c r="AB193" s="17"/>
      <c r="AC193" s="17"/>
    </row>
    <row r="194" customFormat="false" ht="45" hidden="false" customHeight="true" outlineLevel="0" collapsed="false">
      <c r="A194" s="88" t="n">
        <f aca="false">IF(C194="","",ROW()-5)</f>
        <v>189</v>
      </c>
      <c r="B194" s="89" t="s">
        <v>374</v>
      </c>
      <c r="C194" s="88" t="s">
        <v>439</v>
      </c>
      <c r="D194" s="103" t="s">
        <v>440</v>
      </c>
      <c r="E194" s="88" t="n">
        <v>6</v>
      </c>
      <c r="F194" s="91" t="s">
        <v>446</v>
      </c>
      <c r="G194" s="92"/>
      <c r="H194" s="93"/>
      <c r="I194" s="17"/>
      <c r="J194" s="94"/>
      <c r="K194" s="17"/>
      <c r="L194" s="95"/>
      <c r="M194" s="18"/>
      <c r="N194" s="96"/>
      <c r="O194" s="96"/>
      <c r="P194" s="97"/>
      <c r="Q194" s="98"/>
      <c r="R194" s="99"/>
      <c r="S194" s="99"/>
      <c r="T194" s="95"/>
      <c r="U194" s="95"/>
      <c r="V194" s="94"/>
      <c r="W194" s="95"/>
      <c r="X194" s="95" t="n">
        <f aca="false">IF(C194="","",SUM(L194,T194,U194,W194))</f>
        <v>0</v>
      </c>
      <c r="Y194" s="100" t="str">
        <f aca="false">IF(OR(C194="",H194=""),"",X194-H194)</f>
        <v/>
      </c>
      <c r="Z194" s="88"/>
      <c r="AA194" s="88"/>
      <c r="AB194" s="17"/>
      <c r="AC194" s="17"/>
    </row>
    <row r="195" customFormat="false" ht="57.75" hidden="false" customHeight="true" outlineLevel="0" collapsed="false">
      <c r="A195" s="88" t="n">
        <f aca="false">IF(C195="","",ROW()-5)</f>
        <v>190</v>
      </c>
      <c r="B195" s="89" t="s">
        <v>374</v>
      </c>
      <c r="C195" s="88" t="s">
        <v>439</v>
      </c>
      <c r="D195" s="103" t="s">
        <v>440</v>
      </c>
      <c r="E195" s="88" t="n">
        <v>7</v>
      </c>
      <c r="F195" s="91" t="s">
        <v>447</v>
      </c>
      <c r="G195" s="92"/>
      <c r="H195" s="93"/>
      <c r="I195" s="17"/>
      <c r="J195" s="94"/>
      <c r="K195" s="17"/>
      <c r="L195" s="95"/>
      <c r="M195" s="18"/>
      <c r="N195" s="96"/>
      <c r="O195" s="96"/>
      <c r="P195" s="97"/>
      <c r="Q195" s="98"/>
      <c r="R195" s="99"/>
      <c r="S195" s="99"/>
      <c r="T195" s="95"/>
      <c r="U195" s="95"/>
      <c r="V195" s="94"/>
      <c r="W195" s="95"/>
      <c r="X195" s="95" t="n">
        <f aca="false">IF(C195="","",SUM(L195,T195,U195,W195))</f>
        <v>0</v>
      </c>
      <c r="Y195" s="100" t="str">
        <f aca="false">IF(OR(C195="",H195=""),"",X195-H195)</f>
        <v/>
      </c>
      <c r="Z195" s="88"/>
      <c r="AA195" s="88"/>
      <c r="AB195" s="17"/>
      <c r="AC195" s="17"/>
    </row>
    <row r="196" customFormat="false" ht="45" hidden="false" customHeight="true" outlineLevel="0" collapsed="false">
      <c r="A196" s="88" t="n">
        <f aca="false">IF(C196="","",ROW()-5)</f>
        <v>191</v>
      </c>
      <c r="B196" s="89" t="s">
        <v>374</v>
      </c>
      <c r="C196" s="88" t="s">
        <v>439</v>
      </c>
      <c r="D196" s="103" t="s">
        <v>440</v>
      </c>
      <c r="E196" s="88" t="n">
        <v>8</v>
      </c>
      <c r="F196" s="91" t="s">
        <v>448</v>
      </c>
      <c r="G196" s="92"/>
      <c r="H196" s="93"/>
      <c r="I196" s="17"/>
      <c r="J196" s="94"/>
      <c r="K196" s="17"/>
      <c r="L196" s="95"/>
      <c r="M196" s="18"/>
      <c r="N196" s="96"/>
      <c r="O196" s="96"/>
      <c r="P196" s="97"/>
      <c r="Q196" s="98"/>
      <c r="R196" s="99"/>
      <c r="S196" s="99"/>
      <c r="T196" s="95"/>
      <c r="U196" s="95"/>
      <c r="V196" s="94"/>
      <c r="W196" s="95"/>
      <c r="X196" s="95" t="n">
        <f aca="false">IF(C196="","",SUM(L196,T196,U196,W196))</f>
        <v>0</v>
      </c>
      <c r="Y196" s="100" t="str">
        <f aca="false">IF(OR(C196="",H196=""),"",X196-H196)</f>
        <v/>
      </c>
      <c r="Z196" s="88"/>
      <c r="AA196" s="88"/>
      <c r="AB196" s="17"/>
      <c r="AC196" s="17"/>
    </row>
    <row r="197" customFormat="false" ht="57.75" hidden="false" customHeight="true" outlineLevel="0" collapsed="false">
      <c r="A197" s="88" t="n">
        <f aca="false">IF(C197="","",ROW()-5)</f>
        <v>192</v>
      </c>
      <c r="B197" s="89" t="s">
        <v>374</v>
      </c>
      <c r="C197" s="88" t="s">
        <v>439</v>
      </c>
      <c r="D197" s="103" t="s">
        <v>440</v>
      </c>
      <c r="E197" s="88" t="n">
        <v>9</v>
      </c>
      <c r="F197" s="91" t="s">
        <v>449</v>
      </c>
      <c r="G197" s="92"/>
      <c r="H197" s="93"/>
      <c r="I197" s="17"/>
      <c r="J197" s="94"/>
      <c r="K197" s="17"/>
      <c r="L197" s="95"/>
      <c r="M197" s="18"/>
      <c r="N197" s="96"/>
      <c r="O197" s="96"/>
      <c r="P197" s="97"/>
      <c r="Q197" s="98"/>
      <c r="R197" s="99"/>
      <c r="S197" s="99"/>
      <c r="T197" s="95"/>
      <c r="U197" s="95"/>
      <c r="V197" s="94"/>
      <c r="W197" s="95"/>
      <c r="X197" s="95" t="n">
        <f aca="false">IF(C197="","",SUM(L197,T197,U197,W197))</f>
        <v>0</v>
      </c>
      <c r="Y197" s="100" t="str">
        <f aca="false">IF(OR(C197="",H197=""),"",X197-H197)</f>
        <v/>
      </c>
      <c r="Z197" s="88"/>
      <c r="AA197" s="88"/>
      <c r="AB197" s="17"/>
      <c r="AC197" s="17"/>
    </row>
    <row r="198" customFormat="false" ht="84" hidden="false" customHeight="true" outlineLevel="0" collapsed="false">
      <c r="A198" s="88" t="n">
        <f aca="false">IF(C198="","",ROW()-5)</f>
        <v>193</v>
      </c>
      <c r="B198" s="89" t="s">
        <v>374</v>
      </c>
      <c r="C198" s="88" t="s">
        <v>439</v>
      </c>
      <c r="D198" s="103" t="s">
        <v>440</v>
      </c>
      <c r="E198" s="88" t="n">
        <v>10</v>
      </c>
      <c r="F198" s="91" t="s">
        <v>450</v>
      </c>
      <c r="G198" s="92"/>
      <c r="H198" s="93"/>
      <c r="I198" s="17"/>
      <c r="J198" s="94"/>
      <c r="K198" s="17"/>
      <c r="L198" s="95"/>
      <c r="M198" s="18"/>
      <c r="N198" s="96"/>
      <c r="O198" s="96"/>
      <c r="P198" s="97"/>
      <c r="Q198" s="98"/>
      <c r="R198" s="99"/>
      <c r="S198" s="99"/>
      <c r="T198" s="95"/>
      <c r="U198" s="95"/>
      <c r="V198" s="94"/>
      <c r="W198" s="95"/>
      <c r="X198" s="95" t="n">
        <f aca="false">IF(C198="","",SUM(L198,T198,U198,W198))</f>
        <v>0</v>
      </c>
      <c r="Y198" s="100" t="str">
        <f aca="false">IF(OR(C198="",H198=""),"",X198-H198)</f>
        <v/>
      </c>
      <c r="Z198" s="88"/>
      <c r="AA198" s="88"/>
      <c r="AB198" s="17"/>
      <c r="AC198" s="17"/>
    </row>
    <row r="199" customFormat="false" ht="57.75" hidden="false" customHeight="true" outlineLevel="0" collapsed="false">
      <c r="A199" s="88" t="n">
        <f aca="false">IF(C199="","",ROW()-5)</f>
        <v>194</v>
      </c>
      <c r="B199" s="89" t="s">
        <v>374</v>
      </c>
      <c r="C199" s="88" t="s">
        <v>439</v>
      </c>
      <c r="D199" s="103" t="s">
        <v>440</v>
      </c>
      <c r="E199" s="88" t="n">
        <v>11</v>
      </c>
      <c r="F199" s="91" t="s">
        <v>451</v>
      </c>
      <c r="G199" s="92"/>
      <c r="H199" s="93"/>
      <c r="I199" s="17"/>
      <c r="J199" s="94"/>
      <c r="K199" s="17"/>
      <c r="L199" s="95"/>
      <c r="M199" s="18"/>
      <c r="N199" s="96"/>
      <c r="O199" s="96"/>
      <c r="P199" s="97"/>
      <c r="Q199" s="98"/>
      <c r="R199" s="99"/>
      <c r="S199" s="99"/>
      <c r="T199" s="95"/>
      <c r="U199" s="95"/>
      <c r="V199" s="94"/>
      <c r="W199" s="95"/>
      <c r="X199" s="95" t="n">
        <f aca="false">IF(C199="","",SUM(L199,T199,U199,W199))</f>
        <v>0</v>
      </c>
      <c r="Y199" s="100" t="str">
        <f aca="false">IF(OR(C199="",H199=""),"",X199-H199)</f>
        <v/>
      </c>
      <c r="Z199" s="88"/>
      <c r="AA199" s="88"/>
      <c r="AB199" s="17"/>
      <c r="AC199" s="17"/>
    </row>
    <row r="200" customFormat="false" ht="45" hidden="false" customHeight="true" outlineLevel="0" collapsed="false">
      <c r="A200" s="88" t="n">
        <f aca="false">IF(C200="","",ROW()-5)</f>
        <v>195</v>
      </c>
      <c r="B200" s="89" t="s">
        <v>374</v>
      </c>
      <c r="C200" s="88" t="s">
        <v>439</v>
      </c>
      <c r="D200" s="103" t="s">
        <v>440</v>
      </c>
      <c r="E200" s="88" t="n">
        <v>12</v>
      </c>
      <c r="F200" s="91" t="s">
        <v>452</v>
      </c>
      <c r="G200" s="92"/>
      <c r="H200" s="93"/>
      <c r="I200" s="17"/>
      <c r="J200" s="94"/>
      <c r="K200" s="17"/>
      <c r="L200" s="95"/>
      <c r="M200" s="18"/>
      <c r="N200" s="96"/>
      <c r="O200" s="96"/>
      <c r="P200" s="97"/>
      <c r="Q200" s="98"/>
      <c r="R200" s="99"/>
      <c r="S200" s="99"/>
      <c r="T200" s="95"/>
      <c r="U200" s="95"/>
      <c r="V200" s="94"/>
      <c r="W200" s="95"/>
      <c r="X200" s="95" t="n">
        <f aca="false">IF(C200="","",SUM(L200,T200,U200,W200))</f>
        <v>0</v>
      </c>
      <c r="Y200" s="100" t="str">
        <f aca="false">IF(OR(C200="",H200=""),"",X200-H200)</f>
        <v/>
      </c>
      <c r="Z200" s="88"/>
      <c r="AA200" s="88"/>
      <c r="AB200" s="17"/>
      <c r="AC200" s="17"/>
    </row>
    <row r="201" customFormat="false" ht="201" hidden="false" customHeight="true" outlineLevel="0" collapsed="false">
      <c r="A201" s="88" t="n">
        <f aca="false">IF(C201="","",ROW()-5)</f>
        <v>196</v>
      </c>
      <c r="B201" s="89" t="s">
        <v>453</v>
      </c>
      <c r="C201" s="88" t="s">
        <v>454</v>
      </c>
      <c r="D201" s="103" t="s">
        <v>455</v>
      </c>
      <c r="E201" s="88" t="n">
        <v>1</v>
      </c>
      <c r="F201" s="91" t="s">
        <v>456</v>
      </c>
      <c r="G201" s="92"/>
      <c r="H201" s="93"/>
      <c r="I201" s="17"/>
      <c r="J201" s="94"/>
      <c r="K201" s="17"/>
      <c r="L201" s="95"/>
      <c r="M201" s="18"/>
      <c r="N201" s="96"/>
      <c r="O201" s="96"/>
      <c r="P201" s="97"/>
      <c r="Q201" s="98"/>
      <c r="R201" s="99"/>
      <c r="S201" s="99"/>
      <c r="T201" s="95"/>
      <c r="U201" s="95"/>
      <c r="V201" s="94"/>
      <c r="W201" s="95"/>
      <c r="X201" s="95" t="n">
        <f aca="false">IF(C201="","",SUM(L201,T201,U201,W201))</f>
        <v>0</v>
      </c>
      <c r="Y201" s="100" t="str">
        <f aca="false">IF(OR(C201="",H201=""),"",X201-H201)</f>
        <v/>
      </c>
      <c r="Z201" s="88"/>
      <c r="AA201" s="88"/>
      <c r="AB201" s="17"/>
      <c r="AC201" s="17"/>
    </row>
    <row r="202" customFormat="false" ht="31.5" hidden="false" customHeight="true" outlineLevel="0" collapsed="false">
      <c r="A202" s="88" t="n">
        <f aca="false">IF(C202="","",ROW()-5)</f>
        <v>197</v>
      </c>
      <c r="B202" s="89" t="s">
        <v>453</v>
      </c>
      <c r="C202" s="88" t="s">
        <v>454</v>
      </c>
      <c r="D202" s="103" t="s">
        <v>455</v>
      </c>
      <c r="E202" s="88" t="n">
        <v>2</v>
      </c>
      <c r="F202" s="91" t="s">
        <v>457</v>
      </c>
      <c r="G202" s="92"/>
      <c r="H202" s="93"/>
      <c r="I202" s="17"/>
      <c r="J202" s="94"/>
      <c r="K202" s="17"/>
      <c r="L202" s="95"/>
      <c r="M202" s="18"/>
      <c r="N202" s="96"/>
      <c r="O202" s="96"/>
      <c r="P202" s="97"/>
      <c r="Q202" s="98"/>
      <c r="R202" s="99"/>
      <c r="S202" s="99"/>
      <c r="T202" s="95"/>
      <c r="U202" s="95"/>
      <c r="V202" s="94"/>
      <c r="W202" s="95"/>
      <c r="X202" s="95" t="n">
        <f aca="false">IF(C202="","",SUM(L202,T202,U202,W202))</f>
        <v>0</v>
      </c>
      <c r="Y202" s="100" t="str">
        <f aca="false">IF(OR(C202="",H202=""),"",X202-H202)</f>
        <v/>
      </c>
      <c r="Z202" s="88"/>
      <c r="AA202" s="88"/>
      <c r="AB202" s="17"/>
      <c r="AC202" s="17"/>
    </row>
    <row r="203" customFormat="false" ht="31.5" hidden="false" customHeight="true" outlineLevel="0" collapsed="false">
      <c r="A203" s="88" t="n">
        <f aca="false">IF(C203="","",ROW()-5)</f>
        <v>198</v>
      </c>
      <c r="B203" s="89" t="s">
        <v>453</v>
      </c>
      <c r="C203" s="88" t="s">
        <v>454</v>
      </c>
      <c r="D203" s="103" t="s">
        <v>455</v>
      </c>
      <c r="E203" s="88" t="n">
        <v>3</v>
      </c>
      <c r="F203" s="91" t="s">
        <v>458</v>
      </c>
      <c r="G203" s="92"/>
      <c r="H203" s="93"/>
      <c r="I203" s="17"/>
      <c r="J203" s="94"/>
      <c r="K203" s="17"/>
      <c r="L203" s="95"/>
      <c r="M203" s="18"/>
      <c r="N203" s="96"/>
      <c r="O203" s="96"/>
      <c r="P203" s="97"/>
      <c r="Q203" s="98"/>
      <c r="R203" s="99"/>
      <c r="S203" s="99"/>
      <c r="T203" s="95"/>
      <c r="U203" s="95"/>
      <c r="V203" s="94"/>
      <c r="W203" s="95"/>
      <c r="X203" s="95" t="n">
        <f aca="false">IF(C203="","",SUM(L203,T203,U203,W203))</f>
        <v>0</v>
      </c>
      <c r="Y203" s="100" t="str">
        <f aca="false">IF(OR(C203="",H203=""),"",X203-H203)</f>
        <v/>
      </c>
      <c r="Z203" s="88"/>
      <c r="AA203" s="88"/>
      <c r="AB203" s="17"/>
      <c r="AC203" s="17"/>
    </row>
    <row r="204" customFormat="false" ht="57.75" hidden="false" customHeight="true" outlineLevel="0" collapsed="false">
      <c r="A204" s="88" t="n">
        <f aca="false">IF(C204="","",ROW()-5)</f>
        <v>199</v>
      </c>
      <c r="B204" s="89" t="s">
        <v>453</v>
      </c>
      <c r="C204" s="88" t="s">
        <v>454</v>
      </c>
      <c r="D204" s="103" t="s">
        <v>455</v>
      </c>
      <c r="E204" s="88" t="n">
        <v>4</v>
      </c>
      <c r="F204" s="91" t="s">
        <v>459</v>
      </c>
      <c r="G204" s="92"/>
      <c r="H204" s="93"/>
      <c r="I204" s="17"/>
      <c r="J204" s="94"/>
      <c r="K204" s="17"/>
      <c r="L204" s="95"/>
      <c r="M204" s="18"/>
      <c r="N204" s="96"/>
      <c r="O204" s="96"/>
      <c r="P204" s="97"/>
      <c r="Q204" s="98"/>
      <c r="R204" s="99"/>
      <c r="S204" s="99"/>
      <c r="T204" s="95"/>
      <c r="U204" s="95"/>
      <c r="V204" s="94"/>
      <c r="W204" s="95"/>
      <c r="X204" s="95" t="n">
        <f aca="false">IF(C204="","",SUM(L204,T204,U204,W204))</f>
        <v>0</v>
      </c>
      <c r="Y204" s="100" t="str">
        <f aca="false">IF(OR(C204="",H204=""),"",X204-H204)</f>
        <v/>
      </c>
      <c r="Z204" s="88"/>
      <c r="AA204" s="88"/>
      <c r="AB204" s="17"/>
      <c r="AC204" s="17"/>
    </row>
    <row r="205" customFormat="false" ht="45" hidden="false" customHeight="true" outlineLevel="0" collapsed="false">
      <c r="A205" s="88" t="n">
        <f aca="false">IF(C205="","",ROW()-5)</f>
        <v>200</v>
      </c>
      <c r="B205" s="89" t="s">
        <v>453</v>
      </c>
      <c r="C205" s="88" t="s">
        <v>454</v>
      </c>
      <c r="D205" s="103" t="s">
        <v>455</v>
      </c>
      <c r="E205" s="88" t="n">
        <v>5</v>
      </c>
      <c r="F205" s="91" t="s">
        <v>460</v>
      </c>
      <c r="G205" s="92"/>
      <c r="H205" s="93"/>
      <c r="I205" s="17"/>
      <c r="J205" s="94"/>
      <c r="K205" s="17"/>
      <c r="L205" s="95"/>
      <c r="M205" s="18"/>
      <c r="N205" s="96"/>
      <c r="O205" s="96"/>
      <c r="P205" s="97"/>
      <c r="Q205" s="98"/>
      <c r="R205" s="99"/>
      <c r="S205" s="99"/>
      <c r="T205" s="95"/>
      <c r="U205" s="95"/>
      <c r="V205" s="94"/>
      <c r="W205" s="95"/>
      <c r="X205" s="95" t="n">
        <f aca="false">IF(C205="","",SUM(L205,T205,U205,W205))</f>
        <v>0</v>
      </c>
      <c r="Y205" s="100" t="str">
        <f aca="false">IF(OR(C205="",H205=""),"",X205-H205)</f>
        <v/>
      </c>
      <c r="Z205" s="88"/>
      <c r="AA205" s="88"/>
      <c r="AB205" s="17"/>
      <c r="AC205" s="17"/>
    </row>
    <row r="206" customFormat="false" ht="109.5" hidden="false" customHeight="true" outlineLevel="0" collapsed="false">
      <c r="A206" s="88" t="n">
        <f aca="false">IF(C206="","",ROW()-5)</f>
        <v>201</v>
      </c>
      <c r="B206" s="89" t="s">
        <v>453</v>
      </c>
      <c r="C206" s="88" t="s">
        <v>461</v>
      </c>
      <c r="D206" s="103" t="s">
        <v>462</v>
      </c>
      <c r="E206" s="88" t="n">
        <v>1</v>
      </c>
      <c r="F206" s="91" t="s">
        <v>463</v>
      </c>
      <c r="G206" s="92"/>
      <c r="H206" s="93"/>
      <c r="I206" s="17"/>
      <c r="J206" s="94"/>
      <c r="K206" s="17"/>
      <c r="L206" s="95"/>
      <c r="M206" s="18"/>
      <c r="N206" s="96"/>
      <c r="O206" s="96"/>
      <c r="P206" s="97"/>
      <c r="Q206" s="98"/>
      <c r="R206" s="99"/>
      <c r="S206" s="99"/>
      <c r="T206" s="95"/>
      <c r="U206" s="95"/>
      <c r="V206" s="94"/>
      <c r="W206" s="95"/>
      <c r="X206" s="95" t="n">
        <f aca="false">IF(C206="","",SUM(L206,T206,U206,W206))</f>
        <v>0</v>
      </c>
      <c r="Y206" s="100" t="str">
        <f aca="false">IF(OR(C206="",H206=""),"",X206-H206)</f>
        <v/>
      </c>
      <c r="Z206" s="88"/>
      <c r="AA206" s="88"/>
      <c r="AB206" s="17"/>
      <c r="AC206" s="17"/>
    </row>
    <row r="207" customFormat="false" ht="96.75" hidden="false" customHeight="true" outlineLevel="0" collapsed="false">
      <c r="A207" s="88" t="n">
        <f aca="false">IF(C207="","",ROW()-5)</f>
        <v>202</v>
      </c>
      <c r="B207" s="89" t="s">
        <v>453</v>
      </c>
      <c r="C207" s="88" t="s">
        <v>461</v>
      </c>
      <c r="D207" s="103" t="s">
        <v>462</v>
      </c>
      <c r="E207" s="88" t="n">
        <v>2</v>
      </c>
      <c r="F207" s="91" t="s">
        <v>464</v>
      </c>
      <c r="G207" s="92"/>
      <c r="H207" s="93"/>
      <c r="I207" s="17"/>
      <c r="J207" s="94"/>
      <c r="K207" s="17"/>
      <c r="L207" s="95"/>
      <c r="M207" s="18"/>
      <c r="N207" s="96"/>
      <c r="O207" s="96"/>
      <c r="P207" s="97"/>
      <c r="Q207" s="98"/>
      <c r="R207" s="99"/>
      <c r="S207" s="99"/>
      <c r="T207" s="95"/>
      <c r="U207" s="95"/>
      <c r="V207" s="94"/>
      <c r="W207" s="95"/>
      <c r="X207" s="95" t="n">
        <f aca="false">IF(C207="","",SUM(L207,T207,U207,W207))</f>
        <v>0</v>
      </c>
      <c r="Y207" s="100" t="str">
        <f aca="false">IF(OR(C207="",H207=""),"",X207-H207)</f>
        <v/>
      </c>
      <c r="Z207" s="88"/>
      <c r="AA207" s="88"/>
      <c r="AB207" s="17"/>
      <c r="AC207" s="17"/>
    </row>
    <row r="208" customFormat="false" ht="45" hidden="false" customHeight="true" outlineLevel="0" collapsed="false">
      <c r="A208" s="88" t="n">
        <f aca="false">IF(C208="","",ROW()-5)</f>
        <v>203</v>
      </c>
      <c r="B208" s="89" t="s">
        <v>453</v>
      </c>
      <c r="C208" s="88" t="s">
        <v>465</v>
      </c>
      <c r="D208" s="103" t="s">
        <v>466</v>
      </c>
      <c r="E208" s="88" t="n">
        <v>1</v>
      </c>
      <c r="F208" s="91" t="s">
        <v>467</v>
      </c>
      <c r="G208" s="92"/>
      <c r="H208" s="93"/>
      <c r="I208" s="17"/>
      <c r="J208" s="94"/>
      <c r="K208" s="17"/>
      <c r="L208" s="95"/>
      <c r="M208" s="18"/>
      <c r="N208" s="96"/>
      <c r="O208" s="96"/>
      <c r="P208" s="97"/>
      <c r="Q208" s="98"/>
      <c r="R208" s="99"/>
      <c r="S208" s="99"/>
      <c r="T208" s="95"/>
      <c r="U208" s="95"/>
      <c r="V208" s="94"/>
      <c r="W208" s="95"/>
      <c r="X208" s="95" t="n">
        <f aca="false">IF(C208="","",SUM(L208,T208,U208,W208))</f>
        <v>0</v>
      </c>
      <c r="Y208" s="100" t="str">
        <f aca="false">IF(OR(C208="",H208=""),"",X208-H208)</f>
        <v/>
      </c>
      <c r="Z208" s="88"/>
      <c r="AA208" s="88"/>
      <c r="AB208" s="17"/>
      <c r="AC208" s="17"/>
    </row>
    <row r="209" customFormat="false" ht="31.5" hidden="false" customHeight="true" outlineLevel="0" collapsed="false">
      <c r="A209" s="88" t="n">
        <f aca="false">IF(C209="","",ROW()-5)</f>
        <v>204</v>
      </c>
      <c r="B209" s="89" t="s">
        <v>453</v>
      </c>
      <c r="C209" s="88" t="s">
        <v>465</v>
      </c>
      <c r="D209" s="103" t="s">
        <v>466</v>
      </c>
      <c r="E209" s="88" t="n">
        <v>2</v>
      </c>
      <c r="F209" s="91" t="s">
        <v>468</v>
      </c>
      <c r="G209" s="92"/>
      <c r="H209" s="93"/>
      <c r="I209" s="17"/>
      <c r="J209" s="94"/>
      <c r="K209" s="17"/>
      <c r="L209" s="95"/>
      <c r="M209" s="18"/>
      <c r="N209" s="96"/>
      <c r="O209" s="96"/>
      <c r="P209" s="97"/>
      <c r="Q209" s="98"/>
      <c r="R209" s="99"/>
      <c r="S209" s="99"/>
      <c r="T209" s="95"/>
      <c r="U209" s="95"/>
      <c r="V209" s="94"/>
      <c r="W209" s="95"/>
      <c r="X209" s="95" t="n">
        <f aca="false">IF(C209="","",SUM(L209,T209,U209,W209))</f>
        <v>0</v>
      </c>
      <c r="Y209" s="100" t="str">
        <f aca="false">IF(OR(C209="",H209=""),"",X209-H209)</f>
        <v/>
      </c>
      <c r="Z209" s="88"/>
      <c r="AA209" s="88"/>
      <c r="AB209" s="17"/>
      <c r="AC209" s="17"/>
    </row>
    <row r="210" customFormat="false" ht="45" hidden="false" customHeight="true" outlineLevel="0" collapsed="false">
      <c r="A210" s="88" t="n">
        <f aca="false">IF(C210="","",ROW()-5)</f>
        <v>205</v>
      </c>
      <c r="B210" s="89" t="s">
        <v>453</v>
      </c>
      <c r="C210" s="102" t="s">
        <v>469</v>
      </c>
      <c r="D210" s="103" t="s">
        <v>470</v>
      </c>
      <c r="E210" s="88" t="n">
        <v>1</v>
      </c>
      <c r="F210" s="91" t="s">
        <v>471</v>
      </c>
      <c r="G210" s="92"/>
      <c r="H210" s="93"/>
      <c r="I210" s="17"/>
      <c r="J210" s="94"/>
      <c r="K210" s="17"/>
      <c r="L210" s="95"/>
      <c r="M210" s="18"/>
      <c r="N210" s="96"/>
      <c r="O210" s="96"/>
      <c r="P210" s="97"/>
      <c r="Q210" s="98"/>
      <c r="R210" s="99"/>
      <c r="S210" s="99"/>
      <c r="T210" s="95"/>
      <c r="U210" s="95"/>
      <c r="V210" s="94"/>
      <c r="W210" s="95"/>
      <c r="X210" s="95" t="n">
        <f aca="false">IF(C210="","",SUM(L210,T210,U210,W210))</f>
        <v>0</v>
      </c>
      <c r="Y210" s="100" t="str">
        <f aca="false">IF(OR(C210="",H210=""),"",X210-H210)</f>
        <v/>
      </c>
      <c r="Z210" s="88"/>
      <c r="AA210" s="88"/>
      <c r="AB210" s="17"/>
      <c r="AC210" s="17"/>
    </row>
    <row r="211" customFormat="false" ht="31.5" hidden="false" customHeight="true" outlineLevel="0" collapsed="false">
      <c r="A211" s="88" t="n">
        <f aca="false">IF(C211="","",ROW()-5)</f>
        <v>206</v>
      </c>
      <c r="B211" s="89" t="s">
        <v>453</v>
      </c>
      <c r="C211" s="102" t="s">
        <v>469</v>
      </c>
      <c r="D211" s="103" t="s">
        <v>470</v>
      </c>
      <c r="E211" s="88" t="n">
        <v>2</v>
      </c>
      <c r="F211" s="91" t="s">
        <v>472</v>
      </c>
      <c r="G211" s="92"/>
      <c r="H211" s="93"/>
      <c r="I211" s="17"/>
      <c r="J211" s="94"/>
      <c r="K211" s="17"/>
      <c r="L211" s="95"/>
      <c r="M211" s="18"/>
      <c r="N211" s="96"/>
      <c r="O211" s="96"/>
      <c r="P211" s="97"/>
      <c r="Q211" s="98"/>
      <c r="R211" s="99"/>
      <c r="S211" s="99"/>
      <c r="T211" s="95"/>
      <c r="U211" s="95"/>
      <c r="V211" s="94"/>
      <c r="W211" s="95"/>
      <c r="X211" s="95" t="n">
        <f aca="false">IF(C211="","",SUM(L211,T211,U211,W211))</f>
        <v>0</v>
      </c>
      <c r="Y211" s="100" t="str">
        <f aca="false">IF(OR(C211="",H211=""),"",X211-H211)</f>
        <v/>
      </c>
      <c r="Z211" s="88"/>
      <c r="AA211" s="88"/>
      <c r="AB211" s="17"/>
      <c r="AC211" s="17"/>
    </row>
    <row r="212" customFormat="false" ht="84" hidden="false" customHeight="true" outlineLevel="0" collapsed="false">
      <c r="A212" s="88" t="n">
        <f aca="false">IF(C212="","",ROW()-5)</f>
        <v>207</v>
      </c>
      <c r="B212" s="89" t="s">
        <v>453</v>
      </c>
      <c r="C212" s="102" t="s">
        <v>469</v>
      </c>
      <c r="D212" s="103" t="s">
        <v>470</v>
      </c>
      <c r="E212" s="102" t="n">
        <v>3</v>
      </c>
      <c r="F212" s="104" t="s">
        <v>473</v>
      </c>
      <c r="G212" s="92"/>
      <c r="H212" s="93"/>
      <c r="I212" s="17"/>
      <c r="J212" s="94"/>
      <c r="K212" s="17"/>
      <c r="L212" s="95"/>
      <c r="M212" s="18"/>
      <c r="N212" s="96"/>
      <c r="O212" s="96"/>
      <c r="P212" s="97"/>
      <c r="Q212" s="98"/>
      <c r="R212" s="99"/>
      <c r="S212" s="99"/>
      <c r="T212" s="95"/>
      <c r="U212" s="95"/>
      <c r="V212" s="94"/>
      <c r="W212" s="95"/>
      <c r="X212" s="95" t="n">
        <f aca="false">IF(C212="","",SUM(L212,T212,U212,W212))</f>
        <v>0</v>
      </c>
      <c r="Y212" s="100" t="str">
        <f aca="false">IF(OR(C212="",H212=""),"",X212-H212)</f>
        <v/>
      </c>
      <c r="Z212" s="88"/>
      <c r="AA212" s="88"/>
      <c r="AB212" s="17"/>
      <c r="AC212" s="17"/>
    </row>
    <row r="213" customFormat="false" ht="31.5" hidden="false" customHeight="true" outlineLevel="0" collapsed="false">
      <c r="A213" s="88" t="n">
        <f aca="false">IF(C213="","",ROW()-5)</f>
        <v>208</v>
      </c>
      <c r="B213" s="89" t="s">
        <v>453</v>
      </c>
      <c r="C213" s="102" t="s">
        <v>469</v>
      </c>
      <c r="D213" s="103" t="s">
        <v>470</v>
      </c>
      <c r="E213" s="102" t="n">
        <v>4</v>
      </c>
      <c r="F213" s="104" t="s">
        <v>474</v>
      </c>
      <c r="G213" s="92"/>
      <c r="H213" s="93"/>
      <c r="I213" s="17"/>
      <c r="J213" s="94"/>
      <c r="K213" s="17"/>
      <c r="L213" s="95"/>
      <c r="M213" s="18"/>
      <c r="N213" s="96"/>
      <c r="O213" s="96"/>
      <c r="P213" s="97"/>
      <c r="Q213" s="98"/>
      <c r="R213" s="99"/>
      <c r="S213" s="99"/>
      <c r="T213" s="95"/>
      <c r="U213" s="95"/>
      <c r="V213" s="94"/>
      <c r="W213" s="95"/>
      <c r="X213" s="95" t="n">
        <f aca="false">IF(C213="","",SUM(L213,T213,U213,W213))</f>
        <v>0</v>
      </c>
      <c r="Y213" s="100" t="str">
        <f aca="false">IF(OR(C213="",H213=""),"",X213-H213)</f>
        <v/>
      </c>
      <c r="Z213" s="88"/>
      <c r="AA213" s="88"/>
      <c r="AB213" s="17"/>
      <c r="AC213" s="17"/>
    </row>
    <row r="214" customFormat="false" ht="30" hidden="false" customHeight="true" outlineLevel="0" collapsed="false">
      <c r="A214" s="88" t="n">
        <f aca="false">IF(C214="","",ROW()-5)</f>
        <v>209</v>
      </c>
      <c r="B214" s="89" t="s">
        <v>453</v>
      </c>
      <c r="C214" s="102" t="s">
        <v>469</v>
      </c>
      <c r="D214" s="103" t="s">
        <v>470</v>
      </c>
      <c r="E214" s="102" t="n">
        <v>5</v>
      </c>
      <c r="F214" s="104" t="s">
        <v>475</v>
      </c>
      <c r="G214" s="92"/>
      <c r="H214" s="93"/>
      <c r="I214" s="17"/>
      <c r="J214" s="94"/>
      <c r="K214" s="17"/>
      <c r="L214" s="95"/>
      <c r="M214" s="18"/>
      <c r="N214" s="96"/>
      <c r="O214" s="96"/>
      <c r="P214" s="97"/>
      <c r="Q214" s="98"/>
      <c r="R214" s="99"/>
      <c r="S214" s="99"/>
      <c r="T214" s="95"/>
      <c r="U214" s="95"/>
      <c r="V214" s="94"/>
      <c r="W214" s="95"/>
      <c r="X214" s="95" t="n">
        <f aca="false">IF(C214="","",SUM(L214,T214,U214,W214))</f>
        <v>0</v>
      </c>
      <c r="Y214" s="100" t="str">
        <f aca="false">IF(OR(C214="",H214=""),"",X214-H214)</f>
        <v/>
      </c>
      <c r="Z214" s="88"/>
      <c r="AA214" s="88"/>
      <c r="AB214" s="17"/>
      <c r="AC214" s="17"/>
    </row>
    <row r="215" customFormat="false" ht="45" hidden="false" customHeight="true" outlineLevel="0" collapsed="false">
      <c r="A215" s="88" t="n">
        <f aca="false">IF(C215="","",ROW()-5)</f>
        <v>210</v>
      </c>
      <c r="B215" s="89" t="s">
        <v>453</v>
      </c>
      <c r="C215" s="102" t="s">
        <v>469</v>
      </c>
      <c r="D215" s="103" t="s">
        <v>470</v>
      </c>
      <c r="E215" s="102" t="n">
        <v>6</v>
      </c>
      <c r="F215" s="104" t="s">
        <v>476</v>
      </c>
      <c r="G215" s="92"/>
      <c r="H215" s="93"/>
      <c r="I215" s="17"/>
      <c r="J215" s="94"/>
      <c r="K215" s="17"/>
      <c r="L215" s="95"/>
      <c r="M215" s="18"/>
      <c r="N215" s="96"/>
      <c r="O215" s="96"/>
      <c r="P215" s="97"/>
      <c r="Q215" s="98"/>
      <c r="R215" s="99"/>
      <c r="S215" s="99"/>
      <c r="T215" s="95"/>
      <c r="U215" s="95"/>
      <c r="V215" s="94"/>
      <c r="W215" s="95"/>
      <c r="X215" s="95" t="n">
        <f aca="false">IF(C215="","",SUM(L215,T215,U215,W215))</f>
        <v>0</v>
      </c>
      <c r="Y215" s="100" t="str">
        <f aca="false">IF(OR(C215="",H215=""),"",X215-H215)</f>
        <v/>
      </c>
      <c r="Z215" s="88"/>
      <c r="AA215" s="88"/>
      <c r="AB215" s="17"/>
      <c r="AC215" s="17"/>
    </row>
    <row r="216" customFormat="false" ht="45" hidden="false" customHeight="true" outlineLevel="0" collapsed="false">
      <c r="A216" s="88" t="n">
        <f aca="false">IF(C216="","",ROW()-5)</f>
        <v>211</v>
      </c>
      <c r="B216" s="89" t="s">
        <v>453</v>
      </c>
      <c r="C216" s="102" t="s">
        <v>469</v>
      </c>
      <c r="D216" s="103" t="s">
        <v>470</v>
      </c>
      <c r="E216" s="102" t="n">
        <v>7</v>
      </c>
      <c r="F216" s="104" t="s">
        <v>477</v>
      </c>
      <c r="G216" s="92"/>
      <c r="H216" s="93"/>
      <c r="I216" s="17"/>
      <c r="J216" s="94"/>
      <c r="K216" s="17"/>
      <c r="L216" s="95"/>
      <c r="M216" s="18"/>
      <c r="N216" s="96"/>
      <c r="O216" s="96"/>
      <c r="P216" s="97"/>
      <c r="Q216" s="98"/>
      <c r="R216" s="99"/>
      <c r="S216" s="99"/>
      <c r="T216" s="95"/>
      <c r="U216" s="95"/>
      <c r="V216" s="94"/>
      <c r="W216" s="95"/>
      <c r="X216" s="95" t="n">
        <f aca="false">IF(C216="","",SUM(L216,T216,U216,W216))</f>
        <v>0</v>
      </c>
      <c r="Y216" s="100" t="str">
        <f aca="false">IF(OR(C216="",H216=""),"",X216-H216)</f>
        <v/>
      </c>
      <c r="Z216" s="88"/>
      <c r="AA216" s="88"/>
      <c r="AB216" s="17"/>
      <c r="AC216" s="17"/>
    </row>
    <row r="217" customFormat="false" ht="31.5" hidden="false" customHeight="true" outlineLevel="0" collapsed="false">
      <c r="A217" s="88" t="n">
        <f aca="false">IF(C217="","",ROW()-5)</f>
        <v>212</v>
      </c>
      <c r="B217" s="89" t="s">
        <v>453</v>
      </c>
      <c r="C217" s="102" t="s">
        <v>469</v>
      </c>
      <c r="D217" s="103" t="s">
        <v>470</v>
      </c>
      <c r="E217" s="102" t="n">
        <v>8</v>
      </c>
      <c r="F217" s="104" t="s">
        <v>478</v>
      </c>
      <c r="G217" s="92"/>
      <c r="H217" s="93"/>
      <c r="I217" s="17"/>
      <c r="J217" s="94"/>
      <c r="K217" s="17"/>
      <c r="L217" s="95"/>
      <c r="M217" s="18"/>
      <c r="N217" s="96"/>
      <c r="O217" s="96"/>
      <c r="P217" s="97"/>
      <c r="Q217" s="98"/>
      <c r="R217" s="99"/>
      <c r="S217" s="99"/>
      <c r="T217" s="95"/>
      <c r="U217" s="95"/>
      <c r="V217" s="94"/>
      <c r="W217" s="95"/>
      <c r="X217" s="95" t="n">
        <f aca="false">IF(C217="","",SUM(L217,T217,U217,W217))</f>
        <v>0</v>
      </c>
      <c r="Y217" s="100" t="str">
        <f aca="false">IF(OR(C217="",H217=""),"",X217-H217)</f>
        <v/>
      </c>
      <c r="Z217" s="88"/>
      <c r="AA217" s="88"/>
      <c r="AB217" s="17"/>
      <c r="AC217" s="17"/>
    </row>
    <row r="218" customFormat="false" ht="45" hidden="false" customHeight="true" outlineLevel="0" collapsed="false">
      <c r="A218" s="88" t="n">
        <f aca="false">IF(C218="","",ROW()-5)</f>
        <v>213</v>
      </c>
      <c r="B218" s="89" t="s">
        <v>479</v>
      </c>
      <c r="C218" s="102" t="s">
        <v>480</v>
      </c>
      <c r="D218" s="103" t="s">
        <v>481</v>
      </c>
      <c r="E218" s="102" t="n">
        <v>1</v>
      </c>
      <c r="F218" s="104" t="s">
        <v>482</v>
      </c>
      <c r="G218" s="92"/>
      <c r="H218" s="93"/>
      <c r="I218" s="17"/>
      <c r="J218" s="94"/>
      <c r="K218" s="17"/>
      <c r="L218" s="95"/>
      <c r="M218" s="18"/>
      <c r="N218" s="96"/>
      <c r="O218" s="96"/>
      <c r="P218" s="97"/>
      <c r="Q218" s="98"/>
      <c r="R218" s="99"/>
      <c r="S218" s="99"/>
      <c r="T218" s="95"/>
      <c r="U218" s="95"/>
      <c r="V218" s="94"/>
      <c r="W218" s="95"/>
      <c r="X218" s="95" t="n">
        <f aca="false">IF(C218="","",SUM(L218,T218,U218,W218))</f>
        <v>0</v>
      </c>
      <c r="Y218" s="100" t="str">
        <f aca="false">IF(OR(C218="",H218=""),"",X218-H218)</f>
        <v/>
      </c>
      <c r="Z218" s="88"/>
      <c r="AA218" s="88"/>
      <c r="AB218" s="17"/>
      <c r="AC218" s="17"/>
    </row>
    <row r="219" customFormat="false" ht="31.5" hidden="false" customHeight="true" outlineLevel="0" collapsed="false">
      <c r="A219" s="88" t="n">
        <f aca="false">IF(C219="","",ROW()-5)</f>
        <v>214</v>
      </c>
      <c r="B219" s="89" t="s">
        <v>479</v>
      </c>
      <c r="C219" s="102" t="s">
        <v>480</v>
      </c>
      <c r="D219" s="103" t="s">
        <v>481</v>
      </c>
      <c r="E219" s="102" t="n">
        <v>2</v>
      </c>
      <c r="F219" s="104" t="s">
        <v>483</v>
      </c>
      <c r="G219" s="92"/>
      <c r="H219" s="93"/>
      <c r="I219" s="17"/>
      <c r="J219" s="94"/>
      <c r="K219" s="17"/>
      <c r="L219" s="95"/>
      <c r="M219" s="18"/>
      <c r="N219" s="96"/>
      <c r="O219" s="96"/>
      <c r="P219" s="97"/>
      <c r="Q219" s="98"/>
      <c r="R219" s="99"/>
      <c r="S219" s="99"/>
      <c r="T219" s="95"/>
      <c r="U219" s="95"/>
      <c r="V219" s="94"/>
      <c r="W219" s="95"/>
      <c r="X219" s="95" t="n">
        <f aca="false">IF(C219="","",SUM(L219,T219,U219,W219))</f>
        <v>0</v>
      </c>
      <c r="Y219" s="100" t="str">
        <f aca="false">IF(OR(C219="",H219=""),"",X219-H219)</f>
        <v/>
      </c>
      <c r="Z219" s="88"/>
      <c r="AA219" s="88"/>
      <c r="AB219" s="17"/>
      <c r="AC219" s="17"/>
    </row>
    <row r="220" customFormat="false" ht="31.5" hidden="false" customHeight="true" outlineLevel="0" collapsed="false">
      <c r="A220" s="88" t="n">
        <f aca="false">IF(C220="","",ROW()-5)</f>
        <v>215</v>
      </c>
      <c r="B220" s="89" t="s">
        <v>479</v>
      </c>
      <c r="C220" s="102" t="s">
        <v>480</v>
      </c>
      <c r="D220" s="103" t="s">
        <v>481</v>
      </c>
      <c r="E220" s="102" t="n">
        <v>3</v>
      </c>
      <c r="F220" s="104" t="s">
        <v>484</v>
      </c>
      <c r="G220" s="92"/>
      <c r="H220" s="93"/>
      <c r="I220" s="17"/>
      <c r="J220" s="94"/>
      <c r="K220" s="17"/>
      <c r="L220" s="95"/>
      <c r="M220" s="18"/>
      <c r="N220" s="96"/>
      <c r="O220" s="96"/>
      <c r="P220" s="97"/>
      <c r="Q220" s="98"/>
      <c r="R220" s="99"/>
      <c r="S220" s="99"/>
      <c r="T220" s="95"/>
      <c r="U220" s="95"/>
      <c r="V220" s="94"/>
      <c r="W220" s="95"/>
      <c r="X220" s="95" t="n">
        <f aca="false">IF(C220="","",SUM(L220,T220,U220,W220))</f>
        <v>0</v>
      </c>
      <c r="Y220" s="100" t="str">
        <f aca="false">IF(OR(C220="",H220=""),"",X220-H220)</f>
        <v/>
      </c>
      <c r="Z220" s="88"/>
      <c r="AA220" s="88"/>
      <c r="AB220" s="17"/>
      <c r="AC220" s="17"/>
    </row>
    <row r="221" customFormat="false" ht="45" hidden="false" customHeight="true" outlineLevel="0" collapsed="false">
      <c r="A221" s="88" t="n">
        <f aca="false">IF(C221="","",ROW()-5)</f>
        <v>216</v>
      </c>
      <c r="B221" s="89" t="s">
        <v>479</v>
      </c>
      <c r="C221" s="102" t="s">
        <v>480</v>
      </c>
      <c r="D221" s="103" t="s">
        <v>481</v>
      </c>
      <c r="E221" s="102" t="n">
        <v>4</v>
      </c>
      <c r="F221" s="104" t="s">
        <v>485</v>
      </c>
      <c r="G221" s="92"/>
      <c r="H221" s="93"/>
      <c r="I221" s="17"/>
      <c r="J221" s="94"/>
      <c r="K221" s="17"/>
      <c r="L221" s="95"/>
      <c r="M221" s="18"/>
      <c r="N221" s="96"/>
      <c r="O221" s="96"/>
      <c r="P221" s="97"/>
      <c r="Q221" s="98"/>
      <c r="R221" s="99"/>
      <c r="S221" s="99"/>
      <c r="T221" s="95"/>
      <c r="U221" s="95"/>
      <c r="V221" s="94"/>
      <c r="W221" s="95"/>
      <c r="X221" s="95" t="n">
        <f aca="false">IF(C221="","",SUM(L221,T221,U221,W221))</f>
        <v>0</v>
      </c>
      <c r="Y221" s="100" t="str">
        <f aca="false">IF(OR(C221="",H221=""),"",X221-H221)</f>
        <v/>
      </c>
      <c r="Z221" s="88"/>
      <c r="AA221" s="88"/>
      <c r="AB221" s="17"/>
      <c r="AC221" s="17"/>
    </row>
    <row r="222" customFormat="false" ht="84" hidden="false" customHeight="true" outlineLevel="0" collapsed="false">
      <c r="A222" s="88" t="n">
        <f aca="false">IF(C222="","",ROW()-5)</f>
        <v>217</v>
      </c>
      <c r="B222" s="89" t="s">
        <v>479</v>
      </c>
      <c r="C222" s="102" t="s">
        <v>480</v>
      </c>
      <c r="D222" s="103" t="s">
        <v>481</v>
      </c>
      <c r="E222" s="102" t="n">
        <v>5</v>
      </c>
      <c r="F222" s="104" t="s">
        <v>486</v>
      </c>
      <c r="G222" s="92"/>
      <c r="H222" s="93"/>
      <c r="I222" s="17"/>
      <c r="J222" s="94"/>
      <c r="K222" s="17"/>
      <c r="L222" s="95"/>
      <c r="M222" s="18"/>
      <c r="N222" s="96"/>
      <c r="O222" s="96"/>
      <c r="P222" s="97"/>
      <c r="Q222" s="98"/>
      <c r="R222" s="99"/>
      <c r="S222" s="99"/>
      <c r="T222" s="95"/>
      <c r="U222" s="95"/>
      <c r="V222" s="94"/>
      <c r="W222" s="95"/>
      <c r="X222" s="95" t="n">
        <f aca="false">IF(C222="","",SUM(L222,T222,U222,W222))</f>
        <v>0</v>
      </c>
      <c r="Y222" s="100" t="str">
        <f aca="false">IF(OR(C222="",H222=""),"",X222-H222)</f>
        <v/>
      </c>
      <c r="Z222" s="88"/>
      <c r="AA222" s="88"/>
      <c r="AB222" s="17"/>
      <c r="AC222" s="17"/>
    </row>
    <row r="223" customFormat="false" ht="31.5" hidden="false" customHeight="true" outlineLevel="0" collapsed="false">
      <c r="A223" s="88" t="n">
        <f aca="false">IF(C223="","",ROW()-5)</f>
        <v>218</v>
      </c>
      <c r="B223" s="89" t="s">
        <v>479</v>
      </c>
      <c r="C223" s="102" t="s">
        <v>480</v>
      </c>
      <c r="D223" s="103" t="s">
        <v>481</v>
      </c>
      <c r="E223" s="102" t="n">
        <v>6</v>
      </c>
      <c r="F223" s="104" t="s">
        <v>487</v>
      </c>
      <c r="G223" s="92"/>
      <c r="H223" s="93"/>
      <c r="I223" s="17"/>
      <c r="J223" s="94"/>
      <c r="K223" s="17"/>
      <c r="L223" s="95"/>
      <c r="M223" s="18"/>
      <c r="N223" s="96"/>
      <c r="O223" s="96"/>
      <c r="P223" s="97"/>
      <c r="Q223" s="98"/>
      <c r="R223" s="99"/>
      <c r="S223" s="99"/>
      <c r="T223" s="95"/>
      <c r="U223" s="95"/>
      <c r="V223" s="94"/>
      <c r="W223" s="95"/>
      <c r="X223" s="95" t="n">
        <f aca="false">IF(C223="","",SUM(L223,T223,U223,W223))</f>
        <v>0</v>
      </c>
      <c r="Y223" s="100" t="str">
        <f aca="false">IF(OR(C223="",H223=""),"",X223-H223)</f>
        <v/>
      </c>
      <c r="Z223" s="88"/>
      <c r="AA223" s="88"/>
      <c r="AB223" s="17"/>
      <c r="AC223" s="17"/>
    </row>
    <row r="224" customFormat="false" ht="31.5" hidden="false" customHeight="true" outlineLevel="0" collapsed="false">
      <c r="A224" s="88" t="n">
        <f aca="false">IF(C224="","",ROW()-5)</f>
        <v>219</v>
      </c>
      <c r="B224" s="89" t="s">
        <v>479</v>
      </c>
      <c r="C224" s="102" t="s">
        <v>480</v>
      </c>
      <c r="D224" s="103" t="s">
        <v>481</v>
      </c>
      <c r="E224" s="102" t="n">
        <v>7</v>
      </c>
      <c r="F224" s="104" t="s">
        <v>488</v>
      </c>
      <c r="G224" s="92"/>
      <c r="H224" s="93"/>
      <c r="I224" s="17"/>
      <c r="J224" s="94"/>
      <c r="K224" s="17"/>
      <c r="L224" s="95"/>
      <c r="M224" s="18"/>
      <c r="N224" s="96"/>
      <c r="O224" s="96"/>
      <c r="P224" s="97"/>
      <c r="Q224" s="98"/>
      <c r="R224" s="99"/>
      <c r="S224" s="99"/>
      <c r="T224" s="95"/>
      <c r="U224" s="95"/>
      <c r="V224" s="94"/>
      <c r="W224" s="95"/>
      <c r="X224" s="95" t="n">
        <f aca="false">IF(C224="","",SUM(L224,T224,U224,W224))</f>
        <v>0</v>
      </c>
      <c r="Y224" s="100" t="str">
        <f aca="false">IF(OR(C224="",H224=""),"",X224-H224)</f>
        <v/>
      </c>
      <c r="Z224" s="88"/>
      <c r="AA224" s="88"/>
      <c r="AB224" s="17"/>
      <c r="AC224" s="17"/>
    </row>
    <row r="225" customFormat="false" ht="45" hidden="false" customHeight="true" outlineLevel="0" collapsed="false">
      <c r="A225" s="88" t="n">
        <f aca="false">IF(C225="","",ROW()-5)</f>
        <v>220</v>
      </c>
      <c r="B225" s="89" t="s">
        <v>479</v>
      </c>
      <c r="C225" s="88" t="s">
        <v>489</v>
      </c>
      <c r="D225" s="103" t="s">
        <v>490</v>
      </c>
      <c r="E225" s="88" t="n">
        <v>1</v>
      </c>
      <c r="F225" s="91" t="s">
        <v>491</v>
      </c>
      <c r="G225" s="92"/>
      <c r="H225" s="93"/>
      <c r="I225" s="17"/>
      <c r="J225" s="94"/>
      <c r="K225" s="17"/>
      <c r="L225" s="95"/>
      <c r="M225" s="18"/>
      <c r="N225" s="96"/>
      <c r="O225" s="96"/>
      <c r="P225" s="97"/>
      <c r="Q225" s="98"/>
      <c r="R225" s="99"/>
      <c r="S225" s="99"/>
      <c r="T225" s="95"/>
      <c r="U225" s="95"/>
      <c r="V225" s="94"/>
      <c r="W225" s="95"/>
      <c r="X225" s="95" t="n">
        <f aca="false">IF(C225="","",SUM(L225,T225,U225,W225))</f>
        <v>0</v>
      </c>
      <c r="Y225" s="100" t="str">
        <f aca="false">IF(OR(C225="",H225=""),"",X225-H225)</f>
        <v/>
      </c>
      <c r="Z225" s="88"/>
      <c r="AA225" s="88"/>
      <c r="AB225" s="17"/>
      <c r="AC225" s="17"/>
    </row>
    <row r="226" customFormat="false" ht="45" hidden="false" customHeight="true" outlineLevel="0" collapsed="false">
      <c r="A226" s="88" t="n">
        <f aca="false">IF(C226="","",ROW()-5)</f>
        <v>221</v>
      </c>
      <c r="B226" s="89" t="s">
        <v>479</v>
      </c>
      <c r="C226" s="88" t="s">
        <v>489</v>
      </c>
      <c r="D226" s="103" t="s">
        <v>490</v>
      </c>
      <c r="E226" s="88" t="n">
        <v>2</v>
      </c>
      <c r="F226" s="91" t="s">
        <v>492</v>
      </c>
      <c r="G226" s="92"/>
      <c r="H226" s="93"/>
      <c r="I226" s="17"/>
      <c r="J226" s="94"/>
      <c r="K226" s="17"/>
      <c r="L226" s="95"/>
      <c r="M226" s="18"/>
      <c r="N226" s="96"/>
      <c r="O226" s="96"/>
      <c r="P226" s="97"/>
      <c r="Q226" s="98"/>
      <c r="R226" s="99"/>
      <c r="S226" s="99"/>
      <c r="T226" s="95"/>
      <c r="U226" s="95"/>
      <c r="V226" s="94"/>
      <c r="W226" s="95"/>
      <c r="X226" s="95" t="n">
        <f aca="false">IF(C226="","",SUM(L226,T226,U226,W226))</f>
        <v>0</v>
      </c>
      <c r="Y226" s="100" t="str">
        <f aca="false">IF(OR(C226="",H226=""),"",X226-H226)</f>
        <v/>
      </c>
      <c r="Z226" s="88"/>
      <c r="AA226" s="88"/>
      <c r="AB226" s="17"/>
      <c r="AC226" s="17"/>
    </row>
    <row r="227" customFormat="false" ht="57.75" hidden="false" customHeight="true" outlineLevel="0" collapsed="false">
      <c r="A227" s="88" t="n">
        <f aca="false">IF(C227="","",ROW()-5)</f>
        <v>222</v>
      </c>
      <c r="B227" s="89" t="s">
        <v>479</v>
      </c>
      <c r="C227" s="88" t="s">
        <v>489</v>
      </c>
      <c r="D227" s="103" t="s">
        <v>490</v>
      </c>
      <c r="E227" s="88" t="n">
        <v>3</v>
      </c>
      <c r="F227" s="101" t="s">
        <v>493</v>
      </c>
      <c r="G227" s="92"/>
      <c r="H227" s="93"/>
      <c r="I227" s="17"/>
      <c r="J227" s="94"/>
      <c r="K227" s="17"/>
      <c r="L227" s="95"/>
      <c r="M227" s="18"/>
      <c r="N227" s="96"/>
      <c r="O227" s="96"/>
      <c r="P227" s="97"/>
      <c r="Q227" s="98"/>
      <c r="R227" s="99"/>
      <c r="S227" s="99"/>
      <c r="T227" s="95"/>
      <c r="U227" s="95"/>
      <c r="V227" s="94"/>
      <c r="W227" s="95"/>
      <c r="X227" s="95" t="n">
        <f aca="false">IF(C227="","",SUM(L227,T227,U227,W227))</f>
        <v>0</v>
      </c>
      <c r="Y227" s="100" t="str">
        <f aca="false">IF(OR(C227="",H227=""),"",X227-H227)</f>
        <v/>
      </c>
      <c r="Z227" s="88"/>
      <c r="AA227" s="88"/>
      <c r="AB227" s="17"/>
      <c r="AC227" s="17"/>
    </row>
    <row r="228" customFormat="false" ht="84" hidden="false" customHeight="true" outlineLevel="0" collapsed="false">
      <c r="A228" s="88" t="n">
        <f aca="false">IF(C228="","",ROW()-5)</f>
        <v>223</v>
      </c>
      <c r="B228" s="89" t="s">
        <v>479</v>
      </c>
      <c r="C228" s="88" t="s">
        <v>494</v>
      </c>
      <c r="D228" s="103" t="s">
        <v>495</v>
      </c>
      <c r="E228" s="88" t="n">
        <v>1</v>
      </c>
      <c r="F228" s="91" t="s">
        <v>496</v>
      </c>
      <c r="G228" s="92"/>
      <c r="H228" s="93"/>
      <c r="I228" s="17"/>
      <c r="J228" s="94"/>
      <c r="K228" s="17"/>
      <c r="L228" s="95"/>
      <c r="M228" s="18"/>
      <c r="N228" s="96"/>
      <c r="O228" s="96"/>
      <c r="P228" s="97"/>
      <c r="Q228" s="98"/>
      <c r="R228" s="99"/>
      <c r="S228" s="99"/>
      <c r="T228" s="95"/>
      <c r="U228" s="95"/>
      <c r="V228" s="94"/>
      <c r="W228" s="95"/>
      <c r="X228" s="95" t="n">
        <f aca="false">IF(C228="","",SUM(L228,T228,U228,W228))</f>
        <v>0</v>
      </c>
      <c r="Y228" s="100" t="str">
        <f aca="false">IF(OR(C228="",H228=""),"",X228-H228)</f>
        <v/>
      </c>
      <c r="Z228" s="88"/>
      <c r="AA228" s="88"/>
      <c r="AB228" s="17"/>
      <c r="AC228" s="17"/>
    </row>
    <row r="229" customFormat="false" ht="84" hidden="false" customHeight="true" outlineLevel="0" collapsed="false">
      <c r="A229" s="88" t="n">
        <f aca="false">IF(C229="","",ROW()-5)</f>
        <v>224</v>
      </c>
      <c r="B229" s="89" t="s">
        <v>479</v>
      </c>
      <c r="C229" s="88" t="s">
        <v>494</v>
      </c>
      <c r="D229" s="103" t="s">
        <v>495</v>
      </c>
      <c r="E229" s="88" t="n">
        <v>2</v>
      </c>
      <c r="F229" s="91" t="s">
        <v>497</v>
      </c>
      <c r="G229" s="92"/>
      <c r="H229" s="93"/>
      <c r="I229" s="17"/>
      <c r="J229" s="94"/>
      <c r="K229" s="17"/>
      <c r="L229" s="95"/>
      <c r="M229" s="18"/>
      <c r="N229" s="96"/>
      <c r="O229" s="96"/>
      <c r="P229" s="97"/>
      <c r="Q229" s="98"/>
      <c r="R229" s="99"/>
      <c r="S229" s="99"/>
      <c r="T229" s="95"/>
      <c r="U229" s="95"/>
      <c r="V229" s="94"/>
      <c r="W229" s="95"/>
      <c r="X229" s="95" t="n">
        <f aca="false">IF(C229="","",SUM(L229,T229,U229,W229))</f>
        <v>0</v>
      </c>
      <c r="Y229" s="100" t="str">
        <f aca="false">IF(OR(C229="",H229=""),"",X229-H229)</f>
        <v/>
      </c>
      <c r="Z229" s="88"/>
      <c r="AA229" s="88"/>
      <c r="AB229" s="17"/>
      <c r="AC229" s="17"/>
    </row>
    <row r="230" customFormat="false" ht="84" hidden="false" customHeight="true" outlineLevel="0" collapsed="false">
      <c r="A230" s="88" t="n">
        <f aca="false">IF(C230="","",ROW()-5)</f>
        <v>225</v>
      </c>
      <c r="B230" s="89" t="s">
        <v>479</v>
      </c>
      <c r="C230" s="88" t="s">
        <v>498</v>
      </c>
      <c r="D230" s="103" t="s">
        <v>499</v>
      </c>
      <c r="E230" s="88" t="n">
        <v>1</v>
      </c>
      <c r="F230" s="91" t="s">
        <v>500</v>
      </c>
      <c r="G230" s="92"/>
      <c r="H230" s="93"/>
      <c r="I230" s="17"/>
      <c r="J230" s="94"/>
      <c r="K230" s="17"/>
      <c r="L230" s="95"/>
      <c r="M230" s="18"/>
      <c r="N230" s="96"/>
      <c r="O230" s="96"/>
      <c r="P230" s="97"/>
      <c r="Q230" s="98"/>
      <c r="R230" s="99"/>
      <c r="S230" s="99"/>
      <c r="T230" s="95"/>
      <c r="U230" s="95"/>
      <c r="V230" s="94"/>
      <c r="W230" s="95"/>
      <c r="X230" s="95" t="n">
        <f aca="false">IF(C230="","",SUM(L230,T230,U230,W230))</f>
        <v>0</v>
      </c>
      <c r="Y230" s="100" t="str">
        <f aca="false">IF(OR(C230="",H230=""),"",X230-H230)</f>
        <v/>
      </c>
      <c r="Z230" s="88"/>
      <c r="AA230" s="88"/>
      <c r="AB230" s="17"/>
      <c r="AC230" s="17"/>
    </row>
    <row r="231" customFormat="false" ht="31.5" hidden="false" customHeight="true" outlineLevel="0" collapsed="false">
      <c r="A231" s="88" t="n">
        <f aca="false">IF(C231="","",ROW()-5)</f>
        <v>226</v>
      </c>
      <c r="B231" s="89" t="s">
        <v>479</v>
      </c>
      <c r="C231" s="88" t="s">
        <v>498</v>
      </c>
      <c r="D231" s="103" t="s">
        <v>499</v>
      </c>
      <c r="E231" s="88" t="n">
        <v>2</v>
      </c>
      <c r="F231" s="91" t="s">
        <v>501</v>
      </c>
      <c r="G231" s="92"/>
      <c r="H231" s="93"/>
      <c r="I231" s="17"/>
      <c r="J231" s="94"/>
      <c r="K231" s="17"/>
      <c r="L231" s="95"/>
      <c r="M231" s="18"/>
      <c r="N231" s="96"/>
      <c r="O231" s="96"/>
      <c r="P231" s="97"/>
      <c r="Q231" s="98"/>
      <c r="R231" s="99"/>
      <c r="S231" s="99"/>
      <c r="T231" s="95"/>
      <c r="U231" s="95"/>
      <c r="V231" s="94"/>
      <c r="W231" s="95"/>
      <c r="X231" s="95" t="n">
        <f aca="false">IF(C231="","",SUM(L231,T231,U231,W231))</f>
        <v>0</v>
      </c>
      <c r="Y231" s="100" t="str">
        <f aca="false">IF(OR(C231="",H231=""),"",X231-H231)</f>
        <v/>
      </c>
      <c r="Z231" s="88"/>
      <c r="AA231" s="88"/>
      <c r="AB231" s="17"/>
      <c r="AC231" s="17"/>
    </row>
    <row r="232" customFormat="false" ht="135.75" hidden="false" customHeight="true" outlineLevel="0" collapsed="false">
      <c r="A232" s="88" t="n">
        <f aca="false">IF(C232="","",ROW()-5)</f>
        <v>227</v>
      </c>
      <c r="B232" s="89" t="s">
        <v>479</v>
      </c>
      <c r="C232" s="88" t="s">
        <v>498</v>
      </c>
      <c r="D232" s="103" t="s">
        <v>499</v>
      </c>
      <c r="E232" s="88" t="n">
        <v>3</v>
      </c>
      <c r="F232" s="91" t="s">
        <v>502</v>
      </c>
      <c r="G232" s="92"/>
      <c r="H232" s="93"/>
      <c r="I232" s="17"/>
      <c r="J232" s="94"/>
      <c r="K232" s="17"/>
      <c r="L232" s="95"/>
      <c r="M232" s="18"/>
      <c r="N232" s="96"/>
      <c r="O232" s="96"/>
      <c r="P232" s="97"/>
      <c r="Q232" s="98"/>
      <c r="R232" s="99"/>
      <c r="S232" s="99"/>
      <c r="T232" s="95"/>
      <c r="U232" s="95"/>
      <c r="V232" s="94"/>
      <c r="W232" s="95"/>
      <c r="X232" s="95" t="n">
        <f aca="false">IF(C232="","",SUM(L232,T232,U232,W232))</f>
        <v>0</v>
      </c>
      <c r="Y232" s="100" t="str">
        <f aca="false">IF(OR(C232="",H232=""),"",X232-H232)</f>
        <v/>
      </c>
      <c r="Z232" s="88"/>
      <c r="AA232" s="88"/>
      <c r="AB232" s="17"/>
      <c r="AC232" s="17"/>
    </row>
    <row r="233" customFormat="false" ht="57.75" hidden="false" customHeight="true" outlineLevel="0" collapsed="false">
      <c r="A233" s="88" t="n">
        <f aca="false">IF(C233="","",ROW()-5)</f>
        <v>228</v>
      </c>
      <c r="B233" s="89" t="s">
        <v>479</v>
      </c>
      <c r="C233" s="88" t="s">
        <v>498</v>
      </c>
      <c r="D233" s="103" t="s">
        <v>499</v>
      </c>
      <c r="E233" s="88" t="n">
        <v>4</v>
      </c>
      <c r="F233" s="91" t="s">
        <v>503</v>
      </c>
      <c r="G233" s="92"/>
      <c r="H233" s="93"/>
      <c r="I233" s="17"/>
      <c r="J233" s="94"/>
      <c r="K233" s="17"/>
      <c r="L233" s="95"/>
      <c r="M233" s="18"/>
      <c r="N233" s="96"/>
      <c r="O233" s="96"/>
      <c r="P233" s="97"/>
      <c r="Q233" s="98"/>
      <c r="R233" s="99"/>
      <c r="S233" s="99"/>
      <c r="T233" s="95"/>
      <c r="U233" s="95"/>
      <c r="V233" s="94"/>
      <c r="W233" s="95"/>
      <c r="X233" s="95" t="n">
        <f aca="false">IF(C233="","",SUM(L233,T233,U233,W233))</f>
        <v>0</v>
      </c>
      <c r="Y233" s="100" t="str">
        <f aca="false">IF(OR(C233="",H233=""),"",X233-H233)</f>
        <v/>
      </c>
      <c r="Z233" s="88"/>
      <c r="AA233" s="88"/>
      <c r="AB233" s="17"/>
      <c r="AC233" s="17"/>
    </row>
    <row r="234" customFormat="false" ht="84" hidden="false" customHeight="true" outlineLevel="0" collapsed="false">
      <c r="A234" s="88" t="n">
        <f aca="false">IF(C234="","",ROW()-5)</f>
        <v>229</v>
      </c>
      <c r="B234" s="89" t="s">
        <v>479</v>
      </c>
      <c r="C234" s="88" t="s">
        <v>498</v>
      </c>
      <c r="D234" s="103" t="s">
        <v>499</v>
      </c>
      <c r="E234" s="88" t="n">
        <v>5</v>
      </c>
      <c r="F234" s="91" t="s">
        <v>504</v>
      </c>
      <c r="G234" s="92"/>
      <c r="H234" s="93"/>
      <c r="I234" s="17"/>
      <c r="J234" s="94"/>
      <c r="K234" s="17"/>
      <c r="L234" s="95"/>
      <c r="M234" s="18"/>
      <c r="N234" s="96"/>
      <c r="O234" s="96"/>
      <c r="P234" s="97"/>
      <c r="Q234" s="98"/>
      <c r="R234" s="99"/>
      <c r="S234" s="99"/>
      <c r="T234" s="95"/>
      <c r="U234" s="95"/>
      <c r="V234" s="94"/>
      <c r="W234" s="95"/>
      <c r="X234" s="95" t="n">
        <f aca="false">IF(C234="","",SUM(L234,T234,U234,W234))</f>
        <v>0</v>
      </c>
      <c r="Y234" s="100" t="str">
        <f aca="false">IF(OR(C234="",H234=""),"",X234-H234)</f>
        <v/>
      </c>
      <c r="Z234" s="88"/>
      <c r="AA234" s="88"/>
      <c r="AB234" s="17"/>
      <c r="AC234" s="17"/>
    </row>
    <row r="235" customFormat="false" ht="57.75" hidden="false" customHeight="true" outlineLevel="0" collapsed="false">
      <c r="A235" s="88" t="n">
        <f aca="false">IF(C235="","",ROW()-5)</f>
        <v>230</v>
      </c>
      <c r="B235" s="89" t="s">
        <v>479</v>
      </c>
      <c r="C235" s="88" t="s">
        <v>498</v>
      </c>
      <c r="D235" s="103" t="s">
        <v>499</v>
      </c>
      <c r="E235" s="88" t="n">
        <v>6</v>
      </c>
      <c r="F235" s="91" t="s">
        <v>505</v>
      </c>
      <c r="G235" s="92"/>
      <c r="H235" s="93"/>
      <c r="I235" s="17"/>
      <c r="J235" s="94"/>
      <c r="K235" s="17"/>
      <c r="L235" s="95"/>
      <c r="M235" s="18"/>
      <c r="N235" s="96"/>
      <c r="O235" s="96"/>
      <c r="P235" s="97"/>
      <c r="Q235" s="98"/>
      <c r="R235" s="99"/>
      <c r="S235" s="99"/>
      <c r="T235" s="95"/>
      <c r="U235" s="95"/>
      <c r="V235" s="94"/>
      <c r="W235" s="95"/>
      <c r="X235" s="95" t="n">
        <f aca="false">IF(C235="","",SUM(L235,T235,U235,W235))</f>
        <v>0</v>
      </c>
      <c r="Y235" s="100" t="str">
        <f aca="false">IF(OR(C235="",H235=""),"",X235-H235)</f>
        <v/>
      </c>
      <c r="Z235" s="88"/>
      <c r="AA235" s="88"/>
      <c r="AB235" s="17"/>
      <c r="AC235" s="17"/>
    </row>
    <row r="236" customFormat="false" ht="84" hidden="false" customHeight="true" outlineLevel="0" collapsed="false">
      <c r="A236" s="88" t="n">
        <f aca="false">IF(C236="","",ROW()-5)</f>
        <v>231</v>
      </c>
      <c r="B236" s="89" t="s">
        <v>479</v>
      </c>
      <c r="C236" s="88" t="s">
        <v>506</v>
      </c>
      <c r="D236" s="103" t="s">
        <v>507</v>
      </c>
      <c r="E236" s="88" t="n">
        <v>1</v>
      </c>
      <c r="F236" s="91" t="s">
        <v>508</v>
      </c>
      <c r="G236" s="92"/>
      <c r="H236" s="93"/>
      <c r="I236" s="17"/>
      <c r="J236" s="94"/>
      <c r="K236" s="17"/>
      <c r="L236" s="95"/>
      <c r="M236" s="18"/>
      <c r="N236" s="96"/>
      <c r="O236" s="96"/>
      <c r="P236" s="97"/>
      <c r="Q236" s="98"/>
      <c r="R236" s="99"/>
      <c r="S236" s="99"/>
      <c r="T236" s="95"/>
      <c r="U236" s="95"/>
      <c r="V236" s="94"/>
      <c r="W236" s="95"/>
      <c r="X236" s="95" t="n">
        <f aca="false">IF(C236="","",SUM(L236,T236,U236,W236))</f>
        <v>0</v>
      </c>
      <c r="Y236" s="100" t="str">
        <f aca="false">IF(OR(C236="",H236=""),"",X236-H236)</f>
        <v/>
      </c>
      <c r="Z236" s="88"/>
      <c r="AA236" s="88"/>
      <c r="AB236" s="17"/>
      <c r="AC236" s="17"/>
    </row>
    <row r="237" customFormat="false" ht="109.5" hidden="false" customHeight="true" outlineLevel="0" collapsed="false">
      <c r="A237" s="88" t="n">
        <f aca="false">IF(C237="","",ROW()-5)</f>
        <v>232</v>
      </c>
      <c r="B237" s="89" t="s">
        <v>479</v>
      </c>
      <c r="C237" s="88" t="s">
        <v>506</v>
      </c>
      <c r="D237" s="103" t="s">
        <v>507</v>
      </c>
      <c r="E237" s="88" t="n">
        <v>2</v>
      </c>
      <c r="F237" s="91" t="s">
        <v>509</v>
      </c>
      <c r="G237" s="92"/>
      <c r="H237" s="93"/>
      <c r="I237" s="17"/>
      <c r="J237" s="94"/>
      <c r="K237" s="17"/>
      <c r="L237" s="95"/>
      <c r="M237" s="18"/>
      <c r="N237" s="96"/>
      <c r="O237" s="96"/>
      <c r="P237" s="97"/>
      <c r="Q237" s="98"/>
      <c r="R237" s="99"/>
      <c r="S237" s="99"/>
      <c r="T237" s="95"/>
      <c r="U237" s="95"/>
      <c r="V237" s="94"/>
      <c r="W237" s="95"/>
      <c r="X237" s="95" t="n">
        <f aca="false">IF(C237="","",SUM(L237,T237,U237,W237))</f>
        <v>0</v>
      </c>
      <c r="Y237" s="100" t="str">
        <f aca="false">IF(OR(C237="",H237=""),"",X237-H237)</f>
        <v/>
      </c>
      <c r="Z237" s="88"/>
      <c r="AA237" s="88"/>
      <c r="AB237" s="17"/>
      <c r="AC237" s="17"/>
    </row>
    <row r="238" customFormat="false" ht="57.75" hidden="false" customHeight="true" outlineLevel="0" collapsed="false">
      <c r="A238" s="88" t="n">
        <f aca="false">IF(C238="","",ROW()-5)</f>
        <v>233</v>
      </c>
      <c r="B238" s="89" t="s">
        <v>479</v>
      </c>
      <c r="C238" s="88" t="s">
        <v>506</v>
      </c>
      <c r="D238" s="103" t="s">
        <v>507</v>
      </c>
      <c r="E238" s="88" t="n">
        <v>3</v>
      </c>
      <c r="F238" s="91" t="s">
        <v>510</v>
      </c>
      <c r="G238" s="92"/>
      <c r="H238" s="93"/>
      <c r="I238" s="17"/>
      <c r="J238" s="94"/>
      <c r="K238" s="17"/>
      <c r="L238" s="95"/>
      <c r="M238" s="18"/>
      <c r="N238" s="96"/>
      <c r="O238" s="96"/>
      <c r="P238" s="97"/>
      <c r="Q238" s="98"/>
      <c r="R238" s="99"/>
      <c r="S238" s="99"/>
      <c r="T238" s="95"/>
      <c r="U238" s="95"/>
      <c r="V238" s="94"/>
      <c r="W238" s="95"/>
      <c r="X238" s="95" t="n">
        <f aca="false">IF(C238="","",SUM(L238,T238,U238,W238))</f>
        <v>0</v>
      </c>
      <c r="Y238" s="100" t="str">
        <f aca="false">IF(OR(C238="",H238=""),"",X238-H238)</f>
        <v/>
      </c>
      <c r="Z238" s="88"/>
      <c r="AA238" s="88"/>
      <c r="AB238" s="17"/>
      <c r="AC238" s="17"/>
    </row>
    <row r="239" customFormat="false" ht="70.5" hidden="false" customHeight="true" outlineLevel="0" collapsed="false">
      <c r="A239" s="88" t="n">
        <f aca="false">IF(C239="","",ROW()-5)</f>
        <v>234</v>
      </c>
      <c r="B239" s="89" t="s">
        <v>479</v>
      </c>
      <c r="C239" s="88" t="s">
        <v>506</v>
      </c>
      <c r="D239" s="103" t="s">
        <v>507</v>
      </c>
      <c r="E239" s="88" t="n">
        <v>4</v>
      </c>
      <c r="F239" s="91" t="s">
        <v>511</v>
      </c>
      <c r="G239" s="92"/>
      <c r="H239" s="93"/>
      <c r="I239" s="17"/>
      <c r="J239" s="94"/>
      <c r="K239" s="17"/>
      <c r="L239" s="95"/>
      <c r="M239" s="18"/>
      <c r="N239" s="96"/>
      <c r="O239" s="96"/>
      <c r="P239" s="97"/>
      <c r="Q239" s="98"/>
      <c r="R239" s="99"/>
      <c r="S239" s="99"/>
      <c r="T239" s="95"/>
      <c r="U239" s="95"/>
      <c r="V239" s="94"/>
      <c r="W239" s="95"/>
      <c r="X239" s="95" t="n">
        <f aca="false">IF(C239="","",SUM(L239,T239,U239,W239))</f>
        <v>0</v>
      </c>
      <c r="Y239" s="100" t="str">
        <f aca="false">IF(OR(C239="",H239=""),"",X239-H239)</f>
        <v/>
      </c>
      <c r="Z239" s="88"/>
      <c r="AA239" s="88"/>
      <c r="AB239" s="17"/>
      <c r="AC239" s="17"/>
    </row>
    <row r="240" customFormat="false" ht="135.75" hidden="false" customHeight="true" outlineLevel="0" collapsed="false">
      <c r="A240" s="88" t="n">
        <f aca="false">IF(C240="","",ROW()-5)</f>
        <v>235</v>
      </c>
      <c r="B240" s="89" t="s">
        <v>479</v>
      </c>
      <c r="C240" s="88" t="s">
        <v>506</v>
      </c>
      <c r="D240" s="103" t="s">
        <v>507</v>
      </c>
      <c r="E240" s="88" t="n">
        <v>5</v>
      </c>
      <c r="F240" s="91" t="s">
        <v>512</v>
      </c>
      <c r="G240" s="92"/>
      <c r="H240" s="93"/>
      <c r="I240" s="17"/>
      <c r="J240" s="94"/>
      <c r="K240" s="17"/>
      <c r="L240" s="95"/>
      <c r="M240" s="18"/>
      <c r="N240" s="96"/>
      <c r="O240" s="96"/>
      <c r="P240" s="97"/>
      <c r="Q240" s="98"/>
      <c r="R240" s="99"/>
      <c r="S240" s="99"/>
      <c r="T240" s="95"/>
      <c r="U240" s="95"/>
      <c r="V240" s="94"/>
      <c r="W240" s="95"/>
      <c r="X240" s="95" t="n">
        <f aca="false">IF(C240="","",SUM(L240,T240,U240,W240))</f>
        <v>0</v>
      </c>
      <c r="Y240" s="100" t="str">
        <f aca="false">IF(OR(C240="",H240=""),"",X240-H240)</f>
        <v/>
      </c>
      <c r="Z240" s="88"/>
      <c r="AA240" s="88"/>
      <c r="AB240" s="17"/>
      <c r="AC240" s="17"/>
    </row>
    <row r="241" customFormat="false" ht="96.75" hidden="false" customHeight="true" outlineLevel="0" collapsed="false">
      <c r="A241" s="88" t="n">
        <f aca="false">IF(C241="","",ROW()-5)</f>
        <v>236</v>
      </c>
      <c r="B241" s="89" t="s">
        <v>479</v>
      </c>
      <c r="C241" s="88" t="s">
        <v>506</v>
      </c>
      <c r="D241" s="103" t="s">
        <v>507</v>
      </c>
      <c r="E241" s="88" t="n">
        <v>6</v>
      </c>
      <c r="F241" s="91" t="s">
        <v>513</v>
      </c>
      <c r="G241" s="92"/>
      <c r="H241" s="93"/>
      <c r="I241" s="17"/>
      <c r="J241" s="94"/>
      <c r="K241" s="17"/>
      <c r="L241" s="95"/>
      <c r="M241" s="18"/>
      <c r="N241" s="96"/>
      <c r="O241" s="96"/>
      <c r="P241" s="97"/>
      <c r="Q241" s="98"/>
      <c r="R241" s="99"/>
      <c r="S241" s="99"/>
      <c r="T241" s="95"/>
      <c r="U241" s="95"/>
      <c r="V241" s="94"/>
      <c r="W241" s="95"/>
      <c r="X241" s="95" t="n">
        <f aca="false">IF(C241="","",SUM(L241,T241,U241,W241))</f>
        <v>0</v>
      </c>
      <c r="Y241" s="100" t="str">
        <f aca="false">IF(OR(C241="",H241=""),"",X241-H241)</f>
        <v/>
      </c>
      <c r="Z241" s="88"/>
      <c r="AA241" s="88"/>
      <c r="AB241" s="17"/>
      <c r="AC241" s="17"/>
    </row>
    <row r="242" customFormat="false" ht="45" hidden="false" customHeight="true" outlineLevel="0" collapsed="false">
      <c r="A242" s="88" t="n">
        <f aca="false">IF(C242="","",ROW()-5)</f>
        <v>237</v>
      </c>
      <c r="B242" s="89" t="s">
        <v>479</v>
      </c>
      <c r="C242" s="88" t="s">
        <v>514</v>
      </c>
      <c r="D242" s="103" t="s">
        <v>515</v>
      </c>
      <c r="E242" s="88" t="n">
        <v>1</v>
      </c>
      <c r="F242" s="91" t="s">
        <v>516</v>
      </c>
      <c r="G242" s="92"/>
      <c r="H242" s="93"/>
      <c r="I242" s="17"/>
      <c r="J242" s="94"/>
      <c r="K242" s="17"/>
      <c r="L242" s="95"/>
      <c r="M242" s="18"/>
      <c r="N242" s="96"/>
      <c r="O242" s="96"/>
      <c r="P242" s="97"/>
      <c r="Q242" s="98"/>
      <c r="R242" s="99"/>
      <c r="S242" s="99"/>
      <c r="T242" s="95"/>
      <c r="U242" s="95"/>
      <c r="V242" s="94"/>
      <c r="W242" s="95"/>
      <c r="X242" s="95" t="n">
        <f aca="false">IF(C242="","",SUM(L242,T242,U242,W242))</f>
        <v>0</v>
      </c>
      <c r="Y242" s="100" t="str">
        <f aca="false">IF(OR(C242="",H242=""),"",X242-H242)</f>
        <v/>
      </c>
      <c r="Z242" s="88"/>
      <c r="AA242" s="88"/>
      <c r="AB242" s="17"/>
      <c r="AC242" s="17"/>
    </row>
    <row r="243" customFormat="false" ht="57.75" hidden="false" customHeight="true" outlineLevel="0" collapsed="false">
      <c r="A243" s="88" t="n">
        <f aca="false">IF(C243="","",ROW()-5)</f>
        <v>238</v>
      </c>
      <c r="B243" s="89" t="s">
        <v>479</v>
      </c>
      <c r="C243" s="88" t="s">
        <v>514</v>
      </c>
      <c r="D243" s="103" t="s">
        <v>515</v>
      </c>
      <c r="E243" s="88" t="n">
        <v>2</v>
      </c>
      <c r="F243" s="91" t="s">
        <v>517</v>
      </c>
      <c r="G243" s="92"/>
      <c r="H243" s="93"/>
      <c r="I243" s="17"/>
      <c r="J243" s="94"/>
      <c r="K243" s="17"/>
      <c r="L243" s="95"/>
      <c r="M243" s="18"/>
      <c r="N243" s="96"/>
      <c r="O243" s="96"/>
      <c r="P243" s="97"/>
      <c r="Q243" s="98"/>
      <c r="R243" s="99"/>
      <c r="S243" s="99"/>
      <c r="T243" s="95"/>
      <c r="U243" s="95"/>
      <c r="V243" s="94"/>
      <c r="W243" s="95"/>
      <c r="X243" s="95" t="n">
        <f aca="false">IF(C243="","",SUM(L243,T243,U243,W243))</f>
        <v>0</v>
      </c>
      <c r="Y243" s="100" t="str">
        <f aca="false">IF(OR(C243="",H243=""),"",X243-H243)</f>
        <v/>
      </c>
      <c r="Z243" s="88"/>
      <c r="AA243" s="88"/>
      <c r="AB243" s="17"/>
      <c r="AC243" s="17"/>
    </row>
    <row r="244" customFormat="false" ht="45" hidden="false" customHeight="true" outlineLevel="0" collapsed="false">
      <c r="A244" s="88" t="n">
        <f aca="false">IF(C244="","",ROW()-5)</f>
        <v>239</v>
      </c>
      <c r="B244" s="89" t="s">
        <v>479</v>
      </c>
      <c r="C244" s="88" t="s">
        <v>514</v>
      </c>
      <c r="D244" s="103" t="s">
        <v>515</v>
      </c>
      <c r="E244" s="88" t="n">
        <v>3</v>
      </c>
      <c r="F244" s="91" t="s">
        <v>518</v>
      </c>
      <c r="G244" s="92"/>
      <c r="H244" s="93"/>
      <c r="I244" s="17"/>
      <c r="J244" s="94"/>
      <c r="K244" s="17"/>
      <c r="L244" s="95"/>
      <c r="M244" s="18"/>
      <c r="N244" s="96"/>
      <c r="O244" s="96"/>
      <c r="P244" s="97"/>
      <c r="Q244" s="98"/>
      <c r="R244" s="99"/>
      <c r="S244" s="99"/>
      <c r="T244" s="95"/>
      <c r="U244" s="95"/>
      <c r="V244" s="94"/>
      <c r="W244" s="95"/>
      <c r="X244" s="95" t="n">
        <f aca="false">IF(C244="","",SUM(L244,T244,U244,W244))</f>
        <v>0</v>
      </c>
      <c r="Y244" s="100" t="str">
        <f aca="false">IF(OR(C244="",H244=""),"",X244-H244)</f>
        <v/>
      </c>
      <c r="Z244" s="88"/>
      <c r="AA244" s="88"/>
      <c r="AB244" s="17"/>
      <c r="AC244" s="17"/>
    </row>
    <row r="245" customFormat="false" ht="96.75" hidden="false" customHeight="true" outlineLevel="0" collapsed="false">
      <c r="A245" s="88" t="n">
        <f aca="false">IF(C245="","",ROW()-5)</f>
        <v>240</v>
      </c>
      <c r="B245" s="89" t="s">
        <v>479</v>
      </c>
      <c r="C245" s="88" t="s">
        <v>519</v>
      </c>
      <c r="D245" s="103" t="s">
        <v>520</v>
      </c>
      <c r="E245" s="88" t="n">
        <v>1</v>
      </c>
      <c r="F245" s="91" t="s">
        <v>521</v>
      </c>
      <c r="G245" s="92"/>
      <c r="H245" s="93"/>
      <c r="I245" s="17"/>
      <c r="J245" s="94"/>
      <c r="K245" s="17"/>
      <c r="L245" s="95"/>
      <c r="M245" s="18"/>
      <c r="N245" s="96"/>
      <c r="O245" s="96"/>
      <c r="P245" s="97"/>
      <c r="Q245" s="98"/>
      <c r="R245" s="99"/>
      <c r="S245" s="99"/>
      <c r="T245" s="95"/>
      <c r="U245" s="95"/>
      <c r="V245" s="94"/>
      <c r="W245" s="95"/>
      <c r="X245" s="95" t="n">
        <f aca="false">IF(C245="","",SUM(L245,T245,U245,W245))</f>
        <v>0</v>
      </c>
      <c r="Y245" s="100" t="str">
        <f aca="false">IF(OR(C245="",H245=""),"",X245-H245)</f>
        <v/>
      </c>
      <c r="Z245" s="88"/>
      <c r="AA245" s="88"/>
      <c r="AB245" s="17"/>
      <c r="AC245" s="17"/>
    </row>
    <row r="246" customFormat="false" ht="57.75" hidden="false" customHeight="true" outlineLevel="0" collapsed="false">
      <c r="A246" s="88" t="n">
        <f aca="false">IF(C246="","",ROW()-5)</f>
        <v>241</v>
      </c>
      <c r="B246" s="89" t="s">
        <v>479</v>
      </c>
      <c r="C246" s="88" t="s">
        <v>519</v>
      </c>
      <c r="D246" s="103" t="s">
        <v>520</v>
      </c>
      <c r="E246" s="88" t="n">
        <v>2</v>
      </c>
      <c r="F246" s="91" t="s">
        <v>522</v>
      </c>
      <c r="G246" s="92"/>
      <c r="H246" s="93"/>
      <c r="I246" s="17"/>
      <c r="J246" s="94"/>
      <c r="K246" s="17"/>
      <c r="L246" s="95"/>
      <c r="M246" s="18"/>
      <c r="N246" s="96"/>
      <c r="O246" s="96"/>
      <c r="P246" s="97"/>
      <c r="Q246" s="98"/>
      <c r="R246" s="99"/>
      <c r="S246" s="99"/>
      <c r="T246" s="95"/>
      <c r="U246" s="95"/>
      <c r="V246" s="94"/>
      <c r="W246" s="95"/>
      <c r="X246" s="95" t="n">
        <f aca="false">IF(C246="","",SUM(L246,T246,U246,W246))</f>
        <v>0</v>
      </c>
      <c r="Y246" s="100" t="str">
        <f aca="false">IF(OR(C246="",H246=""),"",X246-H246)</f>
        <v/>
      </c>
      <c r="Z246" s="88"/>
      <c r="AA246" s="88"/>
      <c r="AB246" s="17"/>
      <c r="AC246" s="17"/>
    </row>
    <row r="247" customFormat="false" ht="57.75" hidden="false" customHeight="true" outlineLevel="0" collapsed="false">
      <c r="A247" s="88" t="n">
        <f aca="false">IF(C247="","",ROW()-5)</f>
        <v>242</v>
      </c>
      <c r="B247" s="89" t="s">
        <v>479</v>
      </c>
      <c r="C247" s="88" t="s">
        <v>523</v>
      </c>
      <c r="D247" s="103" t="s">
        <v>524</v>
      </c>
      <c r="E247" s="88" t="n">
        <v>1</v>
      </c>
      <c r="F247" s="91" t="s">
        <v>525</v>
      </c>
      <c r="G247" s="92"/>
      <c r="H247" s="93"/>
      <c r="I247" s="17"/>
      <c r="J247" s="94"/>
      <c r="K247" s="17"/>
      <c r="L247" s="95"/>
      <c r="M247" s="18"/>
      <c r="N247" s="96"/>
      <c r="O247" s="96"/>
      <c r="P247" s="97"/>
      <c r="Q247" s="98"/>
      <c r="R247" s="99"/>
      <c r="S247" s="99"/>
      <c r="T247" s="95"/>
      <c r="U247" s="95"/>
      <c r="V247" s="94"/>
      <c r="W247" s="95"/>
      <c r="X247" s="95" t="n">
        <f aca="false">IF(C247="","",SUM(L247,T247,U247,W247))</f>
        <v>0</v>
      </c>
      <c r="Y247" s="100" t="str">
        <f aca="false">IF(OR(C247="",H247=""),"",X247-H247)</f>
        <v/>
      </c>
      <c r="Z247" s="88"/>
      <c r="AA247" s="88"/>
      <c r="AB247" s="17"/>
      <c r="AC247" s="17"/>
    </row>
    <row r="248" customFormat="false" ht="84" hidden="false" customHeight="true" outlineLevel="0" collapsed="false">
      <c r="A248" s="88" t="n">
        <f aca="false">IF(C248="","",ROW()-5)</f>
        <v>243</v>
      </c>
      <c r="B248" s="89" t="s">
        <v>526</v>
      </c>
      <c r="C248" s="88" t="s">
        <v>527</v>
      </c>
      <c r="D248" s="103" t="s">
        <v>528</v>
      </c>
      <c r="E248" s="88" t="n">
        <v>1</v>
      </c>
      <c r="F248" s="91" t="s">
        <v>529</v>
      </c>
      <c r="G248" s="92"/>
      <c r="H248" s="93"/>
      <c r="I248" s="17"/>
      <c r="J248" s="94"/>
      <c r="K248" s="17"/>
      <c r="L248" s="95"/>
      <c r="M248" s="18"/>
      <c r="N248" s="96"/>
      <c r="O248" s="96"/>
      <c r="P248" s="97"/>
      <c r="Q248" s="98"/>
      <c r="R248" s="99"/>
      <c r="S248" s="99"/>
      <c r="T248" s="95"/>
      <c r="U248" s="95"/>
      <c r="V248" s="94"/>
      <c r="W248" s="95"/>
      <c r="X248" s="95" t="n">
        <f aca="false">IF(C248="","",SUM(L248,T248,U248,W248))</f>
        <v>0</v>
      </c>
      <c r="Y248" s="100" t="str">
        <f aca="false">IF(OR(C248="",H248=""),"",X248-H248)</f>
        <v/>
      </c>
      <c r="Z248" s="88"/>
      <c r="AA248" s="88"/>
      <c r="AB248" s="17"/>
      <c r="AC248" s="17"/>
    </row>
    <row r="249" customFormat="false" ht="45" hidden="false" customHeight="true" outlineLevel="0" collapsed="false">
      <c r="A249" s="88" t="n">
        <f aca="false">IF(C249="","",ROW()-5)</f>
        <v>244</v>
      </c>
      <c r="B249" s="89" t="s">
        <v>526</v>
      </c>
      <c r="C249" s="88" t="s">
        <v>527</v>
      </c>
      <c r="D249" s="103" t="s">
        <v>528</v>
      </c>
      <c r="E249" s="88" t="n">
        <v>2</v>
      </c>
      <c r="F249" s="91" t="s">
        <v>530</v>
      </c>
      <c r="G249" s="92"/>
      <c r="H249" s="93"/>
      <c r="I249" s="17"/>
      <c r="J249" s="94"/>
      <c r="K249" s="17"/>
      <c r="L249" s="95"/>
      <c r="M249" s="18"/>
      <c r="N249" s="96"/>
      <c r="O249" s="96"/>
      <c r="P249" s="97"/>
      <c r="Q249" s="98"/>
      <c r="R249" s="99"/>
      <c r="S249" s="99"/>
      <c r="T249" s="95"/>
      <c r="U249" s="95"/>
      <c r="V249" s="94"/>
      <c r="W249" s="95"/>
      <c r="X249" s="95" t="n">
        <f aca="false">IF(C249="","",SUM(L249,T249,U249,W249))</f>
        <v>0</v>
      </c>
      <c r="Y249" s="100" t="str">
        <f aca="false">IF(OR(C249="",H249=""),"",X249-H249)</f>
        <v/>
      </c>
      <c r="Z249" s="88"/>
      <c r="AA249" s="88"/>
      <c r="AB249" s="17"/>
      <c r="AC249" s="17"/>
    </row>
    <row r="250" customFormat="false" ht="45" hidden="false" customHeight="true" outlineLevel="0" collapsed="false">
      <c r="A250" s="88" t="n">
        <f aca="false">IF(C250="","",ROW()-5)</f>
        <v>245</v>
      </c>
      <c r="B250" s="89" t="s">
        <v>526</v>
      </c>
      <c r="C250" s="88" t="s">
        <v>527</v>
      </c>
      <c r="D250" s="103" t="s">
        <v>528</v>
      </c>
      <c r="E250" s="88" t="n">
        <v>3</v>
      </c>
      <c r="F250" s="91" t="s">
        <v>531</v>
      </c>
      <c r="G250" s="92"/>
      <c r="H250" s="93"/>
      <c r="I250" s="17"/>
      <c r="J250" s="94"/>
      <c r="K250" s="17"/>
      <c r="L250" s="95"/>
      <c r="M250" s="18"/>
      <c r="N250" s="96"/>
      <c r="O250" s="96"/>
      <c r="P250" s="97"/>
      <c r="Q250" s="98"/>
      <c r="R250" s="99"/>
      <c r="S250" s="99"/>
      <c r="T250" s="95"/>
      <c r="U250" s="95"/>
      <c r="V250" s="94"/>
      <c r="W250" s="95"/>
      <c r="X250" s="95" t="n">
        <f aca="false">IF(C250="","",SUM(L250,T250,U250,W250))</f>
        <v>0</v>
      </c>
      <c r="Y250" s="100" t="str">
        <f aca="false">IF(OR(C250="",H250=""),"",X250-H250)</f>
        <v/>
      </c>
      <c r="Z250" s="88"/>
      <c r="AA250" s="88"/>
      <c r="AB250" s="17"/>
      <c r="AC250" s="17"/>
    </row>
    <row r="251" customFormat="false" ht="45" hidden="false" customHeight="true" outlineLevel="0" collapsed="false">
      <c r="A251" s="88" t="n">
        <f aca="false">IF(C251="","",ROW()-5)</f>
        <v>246</v>
      </c>
      <c r="B251" s="89" t="s">
        <v>526</v>
      </c>
      <c r="C251" s="88" t="s">
        <v>527</v>
      </c>
      <c r="D251" s="103" t="s">
        <v>528</v>
      </c>
      <c r="E251" s="88" t="n">
        <v>4</v>
      </c>
      <c r="F251" s="101" t="s">
        <v>532</v>
      </c>
      <c r="G251" s="92"/>
      <c r="H251" s="93"/>
      <c r="I251" s="17"/>
      <c r="J251" s="94"/>
      <c r="K251" s="17"/>
      <c r="L251" s="95"/>
      <c r="M251" s="18"/>
      <c r="N251" s="96"/>
      <c r="O251" s="96"/>
      <c r="P251" s="97"/>
      <c r="Q251" s="98"/>
      <c r="R251" s="99"/>
      <c r="S251" s="99"/>
      <c r="T251" s="95"/>
      <c r="U251" s="95"/>
      <c r="V251" s="94"/>
      <c r="W251" s="95"/>
      <c r="X251" s="95" t="n">
        <f aca="false">IF(C251="","",SUM(L251,T251,U251,W251))</f>
        <v>0</v>
      </c>
      <c r="Y251" s="100" t="str">
        <f aca="false">IF(OR(C251="",H251=""),"",X251-H251)</f>
        <v/>
      </c>
      <c r="Z251" s="88"/>
      <c r="AA251" s="88"/>
      <c r="AB251" s="17"/>
      <c r="AC251" s="17"/>
    </row>
    <row r="252" customFormat="false" ht="84" hidden="false" customHeight="true" outlineLevel="0" collapsed="false">
      <c r="A252" s="88" t="n">
        <f aca="false">IF(C252="","",ROW()-5)</f>
        <v>247</v>
      </c>
      <c r="B252" s="89" t="s">
        <v>526</v>
      </c>
      <c r="C252" s="88" t="s">
        <v>533</v>
      </c>
      <c r="D252" s="103" t="s">
        <v>534</v>
      </c>
      <c r="E252" s="88" t="n">
        <v>1</v>
      </c>
      <c r="F252" s="91" t="s">
        <v>535</v>
      </c>
      <c r="G252" s="92"/>
      <c r="H252" s="93"/>
      <c r="I252" s="17"/>
      <c r="J252" s="94"/>
      <c r="K252" s="17"/>
      <c r="L252" s="95"/>
      <c r="M252" s="18"/>
      <c r="N252" s="96"/>
      <c r="O252" s="96"/>
      <c r="P252" s="97"/>
      <c r="Q252" s="98"/>
      <c r="R252" s="99"/>
      <c r="S252" s="99"/>
      <c r="T252" s="95"/>
      <c r="U252" s="95"/>
      <c r="V252" s="94"/>
      <c r="W252" s="95"/>
      <c r="X252" s="95" t="n">
        <f aca="false">IF(C252="","",SUM(L252,T252,U252,W252))</f>
        <v>0</v>
      </c>
      <c r="Y252" s="100" t="str">
        <f aca="false">IF(OR(C252="",H252=""),"",X252-H252)</f>
        <v/>
      </c>
      <c r="Z252" s="88"/>
      <c r="AA252" s="88"/>
      <c r="AB252" s="17"/>
      <c r="AC252" s="17"/>
    </row>
    <row r="253" customFormat="false" ht="57.75" hidden="false" customHeight="true" outlineLevel="0" collapsed="false">
      <c r="A253" s="88" t="n">
        <f aca="false">IF(C253="","",ROW()-5)</f>
        <v>248</v>
      </c>
      <c r="B253" s="89" t="s">
        <v>526</v>
      </c>
      <c r="C253" s="88" t="s">
        <v>533</v>
      </c>
      <c r="D253" s="103" t="s">
        <v>534</v>
      </c>
      <c r="E253" s="88" t="n">
        <v>2</v>
      </c>
      <c r="F253" s="91" t="s">
        <v>536</v>
      </c>
      <c r="G253" s="92"/>
      <c r="H253" s="93"/>
      <c r="I253" s="17"/>
      <c r="J253" s="94"/>
      <c r="K253" s="17"/>
      <c r="L253" s="95"/>
      <c r="M253" s="18"/>
      <c r="N253" s="96"/>
      <c r="O253" s="96"/>
      <c r="P253" s="97"/>
      <c r="Q253" s="98"/>
      <c r="R253" s="99"/>
      <c r="S253" s="99"/>
      <c r="T253" s="95"/>
      <c r="U253" s="95"/>
      <c r="V253" s="94"/>
      <c r="W253" s="95"/>
      <c r="X253" s="95" t="n">
        <f aca="false">IF(C253="","",SUM(L253,T253,U253,W253))</f>
        <v>0</v>
      </c>
      <c r="Y253" s="100" t="str">
        <f aca="false">IF(OR(C253="",H253=""),"",X253-H253)</f>
        <v/>
      </c>
      <c r="Z253" s="88"/>
      <c r="AA253" s="88"/>
      <c r="AB253" s="17"/>
      <c r="AC253" s="17"/>
    </row>
    <row r="254" customFormat="false" ht="45" hidden="false" customHeight="true" outlineLevel="0" collapsed="false">
      <c r="A254" s="88" t="n">
        <f aca="false">IF(C254="","",ROW()-5)</f>
        <v>249</v>
      </c>
      <c r="B254" s="89" t="s">
        <v>526</v>
      </c>
      <c r="C254" s="88" t="s">
        <v>533</v>
      </c>
      <c r="D254" s="103" t="s">
        <v>534</v>
      </c>
      <c r="E254" s="88" t="n">
        <v>3</v>
      </c>
      <c r="F254" s="101" t="s">
        <v>537</v>
      </c>
      <c r="G254" s="92"/>
      <c r="H254" s="93"/>
      <c r="I254" s="17"/>
      <c r="J254" s="94"/>
      <c r="K254" s="17"/>
      <c r="L254" s="95"/>
      <c r="M254" s="18"/>
      <c r="N254" s="96"/>
      <c r="O254" s="96"/>
      <c r="P254" s="97"/>
      <c r="Q254" s="98"/>
      <c r="R254" s="99"/>
      <c r="S254" s="99"/>
      <c r="T254" s="95"/>
      <c r="U254" s="95"/>
      <c r="V254" s="94"/>
      <c r="W254" s="95"/>
      <c r="X254" s="95" t="n">
        <f aca="false">IF(C254="","",SUM(L254,T254,U254,W254))</f>
        <v>0</v>
      </c>
      <c r="Y254" s="100" t="str">
        <f aca="false">IF(OR(C254="",H254=""),"",X254-H254)</f>
        <v/>
      </c>
      <c r="Z254" s="88"/>
      <c r="AA254" s="88"/>
      <c r="AB254" s="17"/>
      <c r="AC254" s="17"/>
    </row>
    <row r="255" customFormat="false" ht="57.75" hidden="false" customHeight="true" outlineLevel="0" collapsed="false">
      <c r="A255" s="88" t="n">
        <f aca="false">IF(C255="","",ROW()-5)</f>
        <v>250</v>
      </c>
      <c r="B255" s="89" t="s">
        <v>526</v>
      </c>
      <c r="C255" s="88" t="s">
        <v>538</v>
      </c>
      <c r="D255" s="103" t="s">
        <v>539</v>
      </c>
      <c r="E255" s="88" t="n">
        <v>1</v>
      </c>
      <c r="F255" s="91" t="s">
        <v>540</v>
      </c>
      <c r="G255" s="92"/>
      <c r="H255" s="93"/>
      <c r="I255" s="17"/>
      <c r="J255" s="94"/>
      <c r="K255" s="17"/>
      <c r="L255" s="95"/>
      <c r="M255" s="18"/>
      <c r="N255" s="96"/>
      <c r="O255" s="96"/>
      <c r="P255" s="97"/>
      <c r="Q255" s="98"/>
      <c r="R255" s="99"/>
      <c r="S255" s="99"/>
      <c r="T255" s="95"/>
      <c r="U255" s="95"/>
      <c r="V255" s="94"/>
      <c r="W255" s="95"/>
      <c r="X255" s="95" t="n">
        <f aca="false">IF(C255="","",SUM(L255,T255,U255,W255))</f>
        <v>0</v>
      </c>
      <c r="Y255" s="100" t="str">
        <f aca="false">IF(OR(C255="",H255=""),"",X255-H255)</f>
        <v/>
      </c>
      <c r="Z255" s="88"/>
      <c r="AA255" s="88"/>
      <c r="AB255" s="17"/>
      <c r="AC255" s="17"/>
    </row>
    <row r="256" customFormat="false" ht="45" hidden="false" customHeight="true" outlineLevel="0" collapsed="false">
      <c r="A256" s="88" t="n">
        <f aca="false">IF(C256="","",ROW()-5)</f>
        <v>251</v>
      </c>
      <c r="B256" s="89" t="s">
        <v>526</v>
      </c>
      <c r="C256" s="88" t="s">
        <v>538</v>
      </c>
      <c r="D256" s="103" t="s">
        <v>539</v>
      </c>
      <c r="E256" s="88" t="n">
        <v>2</v>
      </c>
      <c r="F256" s="91" t="s">
        <v>541</v>
      </c>
      <c r="G256" s="92"/>
      <c r="H256" s="93"/>
      <c r="I256" s="17"/>
      <c r="J256" s="94"/>
      <c r="K256" s="17"/>
      <c r="L256" s="95"/>
      <c r="M256" s="18"/>
      <c r="N256" s="96"/>
      <c r="O256" s="96"/>
      <c r="P256" s="97"/>
      <c r="Q256" s="98"/>
      <c r="R256" s="99"/>
      <c r="S256" s="99"/>
      <c r="T256" s="95"/>
      <c r="U256" s="95"/>
      <c r="V256" s="94"/>
      <c r="W256" s="95"/>
      <c r="X256" s="95" t="n">
        <f aca="false">IF(C256="","",SUM(L256,T256,U256,W256))</f>
        <v>0</v>
      </c>
      <c r="Y256" s="100" t="str">
        <f aca="false">IF(OR(C256="",H256=""),"",X256-H256)</f>
        <v/>
      </c>
      <c r="Z256" s="88"/>
      <c r="AA256" s="88"/>
      <c r="AB256" s="17"/>
      <c r="AC256" s="17"/>
    </row>
    <row r="257" customFormat="false" ht="57.75" hidden="false" customHeight="true" outlineLevel="0" collapsed="false">
      <c r="A257" s="88" t="n">
        <f aca="false">IF(C257="","",ROW()-5)</f>
        <v>252</v>
      </c>
      <c r="B257" s="89" t="s">
        <v>526</v>
      </c>
      <c r="C257" s="88" t="s">
        <v>538</v>
      </c>
      <c r="D257" s="103" t="s">
        <v>539</v>
      </c>
      <c r="E257" s="88" t="n">
        <v>3</v>
      </c>
      <c r="F257" s="91" t="s">
        <v>542</v>
      </c>
      <c r="G257" s="92"/>
      <c r="H257" s="93"/>
      <c r="I257" s="17"/>
      <c r="J257" s="94"/>
      <c r="K257" s="17"/>
      <c r="L257" s="95"/>
      <c r="M257" s="18"/>
      <c r="N257" s="96"/>
      <c r="O257" s="96"/>
      <c r="P257" s="97"/>
      <c r="Q257" s="98"/>
      <c r="R257" s="99"/>
      <c r="S257" s="99"/>
      <c r="T257" s="95"/>
      <c r="U257" s="95"/>
      <c r="V257" s="94"/>
      <c r="W257" s="95"/>
      <c r="X257" s="95" t="n">
        <f aca="false">IF(C257="","",SUM(L257,T257,U257,W257))</f>
        <v>0</v>
      </c>
      <c r="Y257" s="100" t="str">
        <f aca="false">IF(OR(C257="",H257=""),"",X257-H257)</f>
        <v/>
      </c>
      <c r="Z257" s="88"/>
      <c r="AA257" s="88"/>
      <c r="AB257" s="17"/>
      <c r="AC257" s="17"/>
    </row>
    <row r="258" customFormat="false" ht="45" hidden="false" customHeight="true" outlineLevel="0" collapsed="false">
      <c r="A258" s="88" t="n">
        <f aca="false">IF(C258="","",ROW()-5)</f>
        <v>253</v>
      </c>
      <c r="B258" s="89" t="s">
        <v>526</v>
      </c>
      <c r="C258" s="88" t="s">
        <v>538</v>
      </c>
      <c r="D258" s="103" t="s">
        <v>539</v>
      </c>
      <c r="E258" s="88" t="n">
        <v>4</v>
      </c>
      <c r="F258" s="91" t="s">
        <v>543</v>
      </c>
      <c r="G258" s="92"/>
      <c r="H258" s="93"/>
      <c r="I258" s="17"/>
      <c r="J258" s="94"/>
      <c r="K258" s="17"/>
      <c r="L258" s="95"/>
      <c r="M258" s="18"/>
      <c r="N258" s="96"/>
      <c r="O258" s="96"/>
      <c r="P258" s="97"/>
      <c r="Q258" s="98"/>
      <c r="R258" s="99"/>
      <c r="S258" s="99"/>
      <c r="T258" s="95"/>
      <c r="U258" s="95"/>
      <c r="V258" s="94"/>
      <c r="W258" s="95"/>
      <c r="X258" s="95" t="n">
        <f aca="false">IF(C258="","",SUM(L258,T258,U258,W258))</f>
        <v>0</v>
      </c>
      <c r="Y258" s="100" t="str">
        <f aca="false">IF(OR(C258="",H258=""),"",X258-H258)</f>
        <v/>
      </c>
      <c r="Z258" s="88"/>
      <c r="AA258" s="88"/>
      <c r="AB258" s="17"/>
      <c r="AC258" s="17"/>
    </row>
    <row r="259" customFormat="false" ht="57.75" hidden="false" customHeight="true" outlineLevel="0" collapsed="false">
      <c r="A259" s="88" t="n">
        <f aca="false">IF(C259="","",ROW()-5)</f>
        <v>254</v>
      </c>
      <c r="B259" s="89" t="s">
        <v>526</v>
      </c>
      <c r="C259" s="88" t="s">
        <v>544</v>
      </c>
      <c r="D259" s="103" t="s">
        <v>545</v>
      </c>
      <c r="E259" s="88" t="n">
        <v>1</v>
      </c>
      <c r="F259" s="91" t="s">
        <v>546</v>
      </c>
      <c r="G259" s="92"/>
      <c r="H259" s="93"/>
      <c r="I259" s="17"/>
      <c r="J259" s="94"/>
      <c r="K259" s="17"/>
      <c r="L259" s="95"/>
      <c r="M259" s="18"/>
      <c r="N259" s="96"/>
      <c r="O259" s="96"/>
      <c r="P259" s="97"/>
      <c r="Q259" s="98"/>
      <c r="R259" s="99"/>
      <c r="S259" s="99"/>
      <c r="T259" s="95"/>
      <c r="U259" s="95"/>
      <c r="V259" s="94"/>
      <c r="W259" s="95"/>
      <c r="X259" s="95" t="n">
        <f aca="false">IF(C259="","",SUM(L259,T259,U259,W259))</f>
        <v>0</v>
      </c>
      <c r="Y259" s="100" t="str">
        <f aca="false">IF(OR(C259="",H259=""),"",X259-H259)</f>
        <v/>
      </c>
      <c r="Z259" s="88"/>
      <c r="AA259" s="88"/>
      <c r="AB259" s="17"/>
      <c r="AC259" s="17"/>
    </row>
    <row r="260" customFormat="false" ht="45" hidden="false" customHeight="true" outlineLevel="0" collapsed="false">
      <c r="A260" s="88" t="n">
        <f aca="false">IF(C260="","",ROW()-5)</f>
        <v>255</v>
      </c>
      <c r="B260" s="89" t="s">
        <v>526</v>
      </c>
      <c r="C260" s="88" t="s">
        <v>544</v>
      </c>
      <c r="D260" s="103" t="s">
        <v>545</v>
      </c>
      <c r="E260" s="88" t="n">
        <v>2</v>
      </c>
      <c r="F260" s="91" t="s">
        <v>547</v>
      </c>
      <c r="G260" s="92"/>
      <c r="H260" s="93"/>
      <c r="I260" s="17"/>
      <c r="J260" s="94"/>
      <c r="K260" s="17"/>
      <c r="L260" s="95"/>
      <c r="M260" s="18"/>
      <c r="N260" s="96"/>
      <c r="O260" s="96"/>
      <c r="P260" s="97"/>
      <c r="Q260" s="98"/>
      <c r="R260" s="99"/>
      <c r="S260" s="99"/>
      <c r="T260" s="95"/>
      <c r="U260" s="95"/>
      <c r="V260" s="94"/>
      <c r="W260" s="95"/>
      <c r="X260" s="95" t="n">
        <f aca="false">IF(C260="","",SUM(L260,T260,U260,W260))</f>
        <v>0</v>
      </c>
      <c r="Y260" s="100" t="str">
        <f aca="false">IF(OR(C260="",H260=""),"",X260-H260)</f>
        <v/>
      </c>
      <c r="Z260" s="88"/>
      <c r="AA260" s="88"/>
      <c r="AB260" s="17"/>
      <c r="AC260" s="17"/>
    </row>
    <row r="261" customFormat="false" ht="45" hidden="false" customHeight="true" outlineLevel="0" collapsed="false">
      <c r="A261" s="88" t="n">
        <f aca="false">IF(C261="","",ROW()-5)</f>
        <v>256</v>
      </c>
      <c r="B261" s="89" t="s">
        <v>526</v>
      </c>
      <c r="C261" s="88" t="s">
        <v>544</v>
      </c>
      <c r="D261" s="103" t="s">
        <v>545</v>
      </c>
      <c r="E261" s="88" t="n">
        <v>3</v>
      </c>
      <c r="F261" s="91" t="s">
        <v>548</v>
      </c>
      <c r="G261" s="92"/>
      <c r="H261" s="93"/>
      <c r="I261" s="17"/>
      <c r="J261" s="94"/>
      <c r="K261" s="17"/>
      <c r="L261" s="95"/>
      <c r="M261" s="18"/>
      <c r="N261" s="96"/>
      <c r="O261" s="96"/>
      <c r="P261" s="97"/>
      <c r="Q261" s="98"/>
      <c r="R261" s="99"/>
      <c r="S261" s="99"/>
      <c r="T261" s="95"/>
      <c r="U261" s="95"/>
      <c r="V261" s="94"/>
      <c r="W261" s="95"/>
      <c r="X261" s="95" t="n">
        <f aca="false">IF(C261="","",SUM(L261,T261,U261,W261))</f>
        <v>0</v>
      </c>
      <c r="Y261" s="100" t="str">
        <f aca="false">IF(OR(C261="",H261=""),"",X261-H261)</f>
        <v/>
      </c>
      <c r="Z261" s="88"/>
      <c r="AA261" s="88"/>
      <c r="AB261" s="17"/>
      <c r="AC261" s="17"/>
    </row>
    <row r="262" customFormat="false" ht="45" hidden="false" customHeight="true" outlineLevel="0" collapsed="false">
      <c r="A262" s="88" t="n">
        <f aca="false">IF(C262="","",ROW()-5)</f>
        <v>257</v>
      </c>
      <c r="B262" s="89" t="s">
        <v>526</v>
      </c>
      <c r="C262" s="88" t="s">
        <v>544</v>
      </c>
      <c r="D262" s="103" t="s">
        <v>545</v>
      </c>
      <c r="E262" s="88" t="n">
        <v>4</v>
      </c>
      <c r="F262" s="91" t="s">
        <v>549</v>
      </c>
      <c r="G262" s="92"/>
      <c r="H262" s="93"/>
      <c r="I262" s="17"/>
      <c r="J262" s="94"/>
      <c r="K262" s="17"/>
      <c r="L262" s="95"/>
      <c r="M262" s="18"/>
      <c r="N262" s="96"/>
      <c r="O262" s="96"/>
      <c r="P262" s="97"/>
      <c r="Q262" s="98"/>
      <c r="R262" s="99"/>
      <c r="S262" s="99"/>
      <c r="T262" s="95"/>
      <c r="U262" s="95"/>
      <c r="V262" s="94"/>
      <c r="W262" s="95"/>
      <c r="X262" s="95" t="n">
        <f aca="false">IF(C262="","",SUM(L262,T262,U262,W262))</f>
        <v>0</v>
      </c>
      <c r="Y262" s="100" t="str">
        <f aca="false">IF(OR(C262="",H262=""),"",X262-H262)</f>
        <v/>
      </c>
      <c r="Z262" s="88"/>
      <c r="AA262" s="88"/>
      <c r="AB262" s="17"/>
      <c r="AC262" s="17"/>
    </row>
    <row r="263" customFormat="false" ht="57.75" hidden="false" customHeight="true" outlineLevel="0" collapsed="false">
      <c r="A263" s="88" t="n">
        <f aca="false">IF(C263="","",ROW()-5)</f>
        <v>258</v>
      </c>
      <c r="B263" s="89" t="s">
        <v>526</v>
      </c>
      <c r="C263" s="88" t="s">
        <v>550</v>
      </c>
      <c r="D263" s="90" t="s">
        <v>551</v>
      </c>
      <c r="E263" s="88" t="n">
        <v>1</v>
      </c>
      <c r="F263" s="91" t="s">
        <v>552</v>
      </c>
      <c r="G263" s="92"/>
      <c r="H263" s="93"/>
      <c r="I263" s="17"/>
      <c r="J263" s="94"/>
      <c r="K263" s="17"/>
      <c r="L263" s="95"/>
      <c r="M263" s="18"/>
      <c r="N263" s="96"/>
      <c r="O263" s="96"/>
      <c r="P263" s="97"/>
      <c r="Q263" s="98"/>
      <c r="R263" s="99"/>
      <c r="S263" s="99"/>
      <c r="T263" s="95"/>
      <c r="U263" s="95"/>
      <c r="V263" s="94"/>
      <c r="W263" s="95"/>
      <c r="X263" s="95" t="n">
        <f aca="false">IF(C263="","",SUM(L263,T263,U263,W263))</f>
        <v>0</v>
      </c>
      <c r="Y263" s="100" t="str">
        <f aca="false">IF(OR(C263="",H263=""),"",X263-H263)</f>
        <v/>
      </c>
      <c r="Z263" s="88"/>
      <c r="AA263" s="88"/>
      <c r="AB263" s="17"/>
      <c r="AC263" s="17"/>
    </row>
    <row r="264" customFormat="false" ht="45" hidden="false" customHeight="true" outlineLevel="0" collapsed="false">
      <c r="A264" s="88" t="n">
        <f aca="false">IF(C264="","",ROW()-5)</f>
        <v>259</v>
      </c>
      <c r="B264" s="89" t="s">
        <v>526</v>
      </c>
      <c r="C264" s="88" t="s">
        <v>550</v>
      </c>
      <c r="D264" s="90" t="s">
        <v>551</v>
      </c>
      <c r="E264" s="88" t="n">
        <v>2</v>
      </c>
      <c r="F264" s="91" t="s">
        <v>553</v>
      </c>
      <c r="G264" s="92"/>
      <c r="H264" s="93"/>
      <c r="I264" s="17"/>
      <c r="J264" s="94"/>
      <c r="K264" s="17"/>
      <c r="L264" s="95"/>
      <c r="M264" s="18"/>
      <c r="N264" s="96"/>
      <c r="O264" s="96"/>
      <c r="P264" s="97"/>
      <c r="Q264" s="98"/>
      <c r="R264" s="99"/>
      <c r="S264" s="99"/>
      <c r="T264" s="95"/>
      <c r="U264" s="95"/>
      <c r="V264" s="94"/>
      <c r="W264" s="95"/>
      <c r="X264" s="95" t="n">
        <f aca="false">IF(C264="","",SUM(L264,T264,U264,W264))</f>
        <v>0</v>
      </c>
      <c r="Y264" s="100" t="str">
        <f aca="false">IF(OR(C264="",H264=""),"",X264-H264)</f>
        <v/>
      </c>
      <c r="Z264" s="88"/>
      <c r="AA264" s="88"/>
      <c r="AB264" s="17"/>
      <c r="AC264" s="17"/>
    </row>
    <row r="265" customFormat="false" ht="57.75" hidden="false" customHeight="true" outlineLevel="0" collapsed="false">
      <c r="A265" s="88" t="n">
        <f aca="false">IF(C265="","",ROW()-5)</f>
        <v>260</v>
      </c>
      <c r="B265" s="89" t="s">
        <v>526</v>
      </c>
      <c r="C265" s="88" t="s">
        <v>550</v>
      </c>
      <c r="D265" s="90" t="s">
        <v>551</v>
      </c>
      <c r="E265" s="88" t="n">
        <v>3</v>
      </c>
      <c r="F265" s="91" t="s">
        <v>554</v>
      </c>
      <c r="G265" s="92"/>
      <c r="H265" s="93"/>
      <c r="I265" s="17"/>
      <c r="J265" s="94"/>
      <c r="K265" s="17"/>
      <c r="L265" s="95"/>
      <c r="M265" s="18"/>
      <c r="N265" s="96"/>
      <c r="O265" s="96"/>
      <c r="P265" s="97"/>
      <c r="Q265" s="98"/>
      <c r="R265" s="99"/>
      <c r="S265" s="99"/>
      <c r="T265" s="95"/>
      <c r="U265" s="95"/>
      <c r="V265" s="94"/>
      <c r="W265" s="95"/>
      <c r="X265" s="95" t="n">
        <f aca="false">IF(C265="","",SUM(L265,T265,U265,W265))</f>
        <v>0</v>
      </c>
      <c r="Y265" s="100" t="str">
        <f aca="false">IF(OR(C265="",H265=""),"",X265-H265)</f>
        <v/>
      </c>
      <c r="Z265" s="88"/>
      <c r="AA265" s="88"/>
      <c r="AB265" s="17"/>
      <c r="AC265" s="17"/>
    </row>
    <row r="266" customFormat="false" ht="31.5" hidden="false" customHeight="true" outlineLevel="0" collapsed="false">
      <c r="A266" s="88" t="n">
        <f aca="false">IF(C266="","",ROW()-5)</f>
        <v>261</v>
      </c>
      <c r="B266" s="89" t="s">
        <v>526</v>
      </c>
      <c r="C266" s="88" t="s">
        <v>550</v>
      </c>
      <c r="D266" s="90" t="s">
        <v>551</v>
      </c>
      <c r="E266" s="88" t="n">
        <v>4</v>
      </c>
      <c r="F266" s="91" t="s">
        <v>555</v>
      </c>
      <c r="G266" s="92"/>
      <c r="H266" s="93"/>
      <c r="I266" s="17"/>
      <c r="J266" s="94"/>
      <c r="K266" s="17"/>
      <c r="L266" s="95"/>
      <c r="M266" s="18"/>
      <c r="N266" s="96"/>
      <c r="O266" s="96"/>
      <c r="P266" s="97"/>
      <c r="Q266" s="98"/>
      <c r="R266" s="99"/>
      <c r="S266" s="99"/>
      <c r="T266" s="95"/>
      <c r="U266" s="95"/>
      <c r="V266" s="94"/>
      <c r="W266" s="95"/>
      <c r="X266" s="95" t="n">
        <f aca="false">IF(C266="","",SUM(L266,T266,U266,W266))</f>
        <v>0</v>
      </c>
      <c r="Y266" s="100" t="str">
        <f aca="false">IF(OR(C266="",H266=""),"",X266-H266)</f>
        <v/>
      </c>
      <c r="Z266" s="88"/>
      <c r="AA266" s="88"/>
      <c r="AB266" s="17"/>
      <c r="AC266" s="17"/>
    </row>
    <row r="267" customFormat="false" ht="15" hidden="false" customHeight="true" outlineLevel="0" collapsed="false">
      <c r="A267" s="88" t="str">
        <f aca="false">IF(C267="","",ROW()-5)</f>
        <v/>
      </c>
      <c r="B267" s="89"/>
      <c r="C267" s="88"/>
      <c r="D267" s="90"/>
      <c r="E267" s="88"/>
      <c r="F267" s="101"/>
      <c r="G267" s="92"/>
      <c r="H267" s="93"/>
      <c r="I267" s="17"/>
      <c r="J267" s="94"/>
      <c r="K267" s="17"/>
      <c r="L267" s="95"/>
      <c r="M267" s="18"/>
      <c r="N267" s="96"/>
      <c r="O267" s="96"/>
      <c r="P267" s="97"/>
      <c r="Q267" s="98"/>
      <c r="R267" s="99"/>
      <c r="S267" s="99"/>
      <c r="T267" s="95"/>
      <c r="U267" s="95"/>
      <c r="V267" s="94"/>
      <c r="W267" s="95"/>
      <c r="X267" s="95" t="str">
        <f aca="false">IF(C267="","",SUM(L267,T267,U267,W267))</f>
        <v/>
      </c>
      <c r="Y267" s="100" t="str">
        <f aca="false">IF(OR(C267="",H267=""),"",X267-H267)</f>
        <v/>
      </c>
      <c r="Z267" s="88"/>
      <c r="AA267" s="88"/>
      <c r="AB267" s="17"/>
      <c r="AC267" s="17"/>
    </row>
    <row r="268" customFormat="false" ht="15" hidden="false" customHeight="true" outlineLevel="0" collapsed="false">
      <c r="A268" s="88" t="str">
        <f aca="false">IF(C268="","",ROW()-5)</f>
        <v/>
      </c>
      <c r="B268" s="89"/>
      <c r="C268" s="88"/>
      <c r="D268" s="90"/>
      <c r="E268" s="88"/>
      <c r="F268" s="101"/>
      <c r="G268" s="92"/>
      <c r="H268" s="93"/>
      <c r="I268" s="17"/>
      <c r="J268" s="94"/>
      <c r="K268" s="17"/>
      <c r="L268" s="95"/>
      <c r="M268" s="18"/>
      <c r="N268" s="96"/>
      <c r="O268" s="96"/>
      <c r="P268" s="97"/>
      <c r="Q268" s="98"/>
      <c r="R268" s="99"/>
      <c r="S268" s="99"/>
      <c r="T268" s="95"/>
      <c r="U268" s="95"/>
      <c r="V268" s="94"/>
      <c r="W268" s="95"/>
      <c r="X268" s="95" t="str">
        <f aca="false">IF(C268="","",SUM(L268,T268,U268,W268))</f>
        <v/>
      </c>
      <c r="Y268" s="100" t="str">
        <f aca="false">IF(OR(C268="",H268=""),"",X268-H268)</f>
        <v/>
      </c>
      <c r="Z268" s="88"/>
      <c r="AA268" s="88"/>
      <c r="AB268" s="17"/>
      <c r="AC268" s="17"/>
    </row>
    <row r="269" customFormat="false" ht="15" hidden="false" customHeight="true" outlineLevel="0" collapsed="false">
      <c r="A269" s="88" t="str">
        <f aca="false">IF(C269="","",ROW()-5)</f>
        <v/>
      </c>
      <c r="B269" s="89"/>
      <c r="C269" s="88"/>
      <c r="D269" s="90"/>
      <c r="E269" s="88"/>
      <c r="F269" s="101"/>
      <c r="G269" s="92"/>
      <c r="H269" s="93"/>
      <c r="I269" s="17"/>
      <c r="J269" s="94"/>
      <c r="K269" s="17"/>
      <c r="L269" s="95"/>
      <c r="M269" s="18"/>
      <c r="N269" s="96"/>
      <c r="O269" s="96"/>
      <c r="P269" s="97"/>
      <c r="Q269" s="98"/>
      <c r="R269" s="99"/>
      <c r="S269" s="99"/>
      <c r="T269" s="95"/>
      <c r="U269" s="95"/>
      <c r="V269" s="94"/>
      <c r="W269" s="95"/>
      <c r="X269" s="95" t="str">
        <f aca="false">IF(C269="","",SUM(L269,T269,U269,W269))</f>
        <v/>
      </c>
      <c r="Y269" s="100" t="str">
        <f aca="false">IF(OR(C269="",H269=""),"",X269-H269)</f>
        <v/>
      </c>
      <c r="Z269" s="88"/>
      <c r="AA269" s="88"/>
      <c r="AB269" s="17"/>
      <c r="AC269" s="17"/>
    </row>
    <row r="270" customFormat="false" ht="15" hidden="false" customHeight="true" outlineLevel="0" collapsed="false">
      <c r="A270" s="88" t="str">
        <f aca="false">IF(C270="","",ROW()-5)</f>
        <v/>
      </c>
      <c r="B270" s="89"/>
      <c r="C270" s="88"/>
      <c r="D270" s="90"/>
      <c r="E270" s="88"/>
      <c r="F270" s="101"/>
      <c r="G270" s="92"/>
      <c r="H270" s="93"/>
      <c r="I270" s="17"/>
      <c r="J270" s="94"/>
      <c r="K270" s="17"/>
      <c r="L270" s="95"/>
      <c r="M270" s="18"/>
      <c r="N270" s="96"/>
      <c r="O270" s="96"/>
      <c r="P270" s="97"/>
      <c r="Q270" s="98"/>
      <c r="R270" s="99"/>
      <c r="S270" s="99"/>
      <c r="T270" s="95"/>
      <c r="U270" s="95"/>
      <c r="V270" s="94"/>
      <c r="W270" s="95"/>
      <c r="X270" s="95" t="str">
        <f aca="false">IF(C270="","",SUM(L270,T270,U270,W270))</f>
        <v/>
      </c>
      <c r="Y270" s="100" t="str">
        <f aca="false">IF(OR(C270="",H270=""),"",X270-H270)</f>
        <v/>
      </c>
      <c r="Z270" s="88"/>
      <c r="AA270" s="88"/>
      <c r="AB270" s="17"/>
      <c r="AC270" s="17"/>
    </row>
    <row r="271" customFormat="false" ht="15" hidden="false" customHeight="true" outlineLevel="0" collapsed="false">
      <c r="A271" s="88" t="str">
        <f aca="false">IF(C271="","",ROW()-5)</f>
        <v/>
      </c>
      <c r="B271" s="89"/>
      <c r="C271" s="88"/>
      <c r="D271" s="90"/>
      <c r="E271" s="88"/>
      <c r="F271" s="101"/>
      <c r="G271" s="92"/>
      <c r="H271" s="93"/>
      <c r="I271" s="17"/>
      <c r="J271" s="94"/>
      <c r="K271" s="17"/>
      <c r="L271" s="95"/>
      <c r="M271" s="18"/>
      <c r="N271" s="96"/>
      <c r="O271" s="96"/>
      <c r="P271" s="97"/>
      <c r="Q271" s="98"/>
      <c r="R271" s="99"/>
      <c r="S271" s="99"/>
      <c r="T271" s="95"/>
      <c r="U271" s="95"/>
      <c r="V271" s="94"/>
      <c r="W271" s="95"/>
      <c r="X271" s="95" t="str">
        <f aca="false">IF(C271="","",SUM(L271,T271,U271,W271))</f>
        <v/>
      </c>
      <c r="Y271" s="100" t="str">
        <f aca="false">IF(OR(C271="",H271=""),"",X271-H271)</f>
        <v/>
      </c>
      <c r="Z271" s="88"/>
      <c r="AA271" s="88"/>
      <c r="AB271" s="17"/>
      <c r="AC271" s="17"/>
    </row>
    <row r="272" customFormat="false" ht="15" hidden="false" customHeight="true" outlineLevel="0" collapsed="false">
      <c r="A272" s="88" t="str">
        <f aca="false">IF(C272="","",ROW()-5)</f>
        <v/>
      </c>
      <c r="B272" s="89"/>
      <c r="C272" s="88"/>
      <c r="D272" s="90"/>
      <c r="E272" s="88"/>
      <c r="F272" s="101"/>
      <c r="G272" s="92"/>
      <c r="H272" s="93"/>
      <c r="I272" s="17"/>
      <c r="J272" s="94"/>
      <c r="K272" s="17"/>
      <c r="L272" s="95"/>
      <c r="M272" s="18"/>
      <c r="N272" s="96"/>
      <c r="O272" s="96"/>
      <c r="P272" s="97"/>
      <c r="Q272" s="98"/>
      <c r="R272" s="99"/>
      <c r="S272" s="99"/>
      <c r="T272" s="95"/>
      <c r="U272" s="95"/>
      <c r="V272" s="94"/>
      <c r="W272" s="95"/>
      <c r="X272" s="95" t="str">
        <f aca="false">IF(C272="","",SUM(L272,T272,U272,W272))</f>
        <v/>
      </c>
      <c r="Y272" s="100" t="str">
        <f aca="false">IF(OR(C272="",H272=""),"",X272-H272)</f>
        <v/>
      </c>
      <c r="Z272" s="88"/>
      <c r="AA272" s="88"/>
      <c r="AB272" s="17"/>
      <c r="AC272" s="17"/>
    </row>
    <row r="273" customFormat="false" ht="15" hidden="false" customHeight="true" outlineLevel="0" collapsed="false">
      <c r="A273" s="88" t="str">
        <f aca="false">IF(C273="","",ROW()-5)</f>
        <v/>
      </c>
      <c r="B273" s="89"/>
      <c r="C273" s="88"/>
      <c r="D273" s="90"/>
      <c r="E273" s="88"/>
      <c r="F273" s="101"/>
      <c r="G273" s="92"/>
      <c r="H273" s="93"/>
      <c r="I273" s="17"/>
      <c r="J273" s="94"/>
      <c r="K273" s="17"/>
      <c r="L273" s="95"/>
      <c r="M273" s="18"/>
      <c r="N273" s="96"/>
      <c r="O273" s="96"/>
      <c r="P273" s="97"/>
      <c r="Q273" s="98"/>
      <c r="R273" s="99"/>
      <c r="S273" s="99"/>
      <c r="T273" s="95"/>
      <c r="U273" s="95"/>
      <c r="V273" s="94"/>
      <c r="W273" s="95"/>
      <c r="X273" s="95" t="str">
        <f aca="false">IF(C273="","",SUM(L273,T273,U273,W273))</f>
        <v/>
      </c>
      <c r="Y273" s="100" t="str">
        <f aca="false">IF(OR(C273="",H273=""),"",X273-H273)</f>
        <v/>
      </c>
      <c r="Z273" s="88"/>
      <c r="AA273" s="88"/>
      <c r="AB273" s="17"/>
      <c r="AC273" s="17"/>
    </row>
    <row r="274" customFormat="false" ht="15" hidden="false" customHeight="true" outlineLevel="0" collapsed="false">
      <c r="A274" s="88" t="str">
        <f aca="false">IF(C274="","",ROW()-5)</f>
        <v/>
      </c>
      <c r="B274" s="89"/>
      <c r="C274" s="88"/>
      <c r="D274" s="90"/>
      <c r="E274" s="88"/>
      <c r="F274" s="101"/>
      <c r="G274" s="92"/>
      <c r="H274" s="93"/>
      <c r="I274" s="17"/>
      <c r="J274" s="94"/>
      <c r="K274" s="17"/>
      <c r="L274" s="95"/>
      <c r="M274" s="18"/>
      <c r="N274" s="96"/>
      <c r="O274" s="96"/>
      <c r="P274" s="97"/>
      <c r="Q274" s="98"/>
      <c r="R274" s="99"/>
      <c r="S274" s="99"/>
      <c r="T274" s="95"/>
      <c r="U274" s="95"/>
      <c r="V274" s="94"/>
      <c r="W274" s="95"/>
      <c r="X274" s="95" t="str">
        <f aca="false">IF(C274="","",SUM(L274,T274,U274,W274))</f>
        <v/>
      </c>
      <c r="Y274" s="100" t="str">
        <f aca="false">IF(OR(C274="",H274=""),"",X274-H274)</f>
        <v/>
      </c>
      <c r="Z274" s="88"/>
      <c r="AA274" s="88"/>
      <c r="AB274" s="17"/>
      <c r="AC274" s="17"/>
    </row>
    <row r="275" customFormat="false" ht="15" hidden="false" customHeight="true" outlineLevel="0" collapsed="false">
      <c r="A275" s="88" t="str">
        <f aca="false">IF(C275="","",ROW()-5)</f>
        <v/>
      </c>
      <c r="B275" s="89"/>
      <c r="C275" s="88"/>
      <c r="D275" s="90"/>
      <c r="E275" s="88"/>
      <c r="F275" s="101"/>
      <c r="G275" s="92"/>
      <c r="H275" s="93"/>
      <c r="I275" s="17"/>
      <c r="J275" s="94"/>
      <c r="K275" s="17"/>
      <c r="L275" s="95"/>
      <c r="M275" s="18"/>
      <c r="N275" s="96"/>
      <c r="O275" s="96"/>
      <c r="P275" s="97"/>
      <c r="Q275" s="98"/>
      <c r="R275" s="99"/>
      <c r="S275" s="99"/>
      <c r="T275" s="95"/>
      <c r="U275" s="95"/>
      <c r="V275" s="94"/>
      <c r="W275" s="95"/>
      <c r="X275" s="95" t="str">
        <f aca="false">IF(C275="","",SUM(L275,T275,U275,W275))</f>
        <v/>
      </c>
      <c r="Y275" s="100" t="str">
        <f aca="false">IF(OR(C275="",H275=""),"",X275-H275)</f>
        <v/>
      </c>
      <c r="Z275" s="88"/>
      <c r="AA275" s="88"/>
      <c r="AB275" s="17"/>
      <c r="AC275" s="17"/>
    </row>
    <row r="276" customFormat="false" ht="15" hidden="false" customHeight="true" outlineLevel="0" collapsed="false">
      <c r="A276" s="88" t="str">
        <f aca="false">IF(C276="","",ROW()-5)</f>
        <v/>
      </c>
      <c r="B276" s="89"/>
      <c r="C276" s="88"/>
      <c r="D276" s="90"/>
      <c r="E276" s="88"/>
      <c r="F276" s="101"/>
      <c r="G276" s="92"/>
      <c r="H276" s="93"/>
      <c r="I276" s="17"/>
      <c r="J276" s="94"/>
      <c r="K276" s="17"/>
      <c r="L276" s="95"/>
      <c r="M276" s="18"/>
      <c r="N276" s="96"/>
      <c r="O276" s="96"/>
      <c r="P276" s="97"/>
      <c r="Q276" s="98"/>
      <c r="R276" s="99"/>
      <c r="S276" s="99"/>
      <c r="T276" s="95"/>
      <c r="U276" s="95"/>
      <c r="V276" s="94"/>
      <c r="W276" s="95"/>
      <c r="X276" s="95" t="str">
        <f aca="false">IF(C276="","",SUM(L276,T276,U276,W276))</f>
        <v/>
      </c>
      <c r="Y276" s="100" t="str">
        <f aca="false">IF(OR(C276="",H276=""),"",X276-H276)</f>
        <v/>
      </c>
      <c r="Z276" s="88"/>
      <c r="AA276" s="88"/>
      <c r="AB276" s="17"/>
      <c r="AC276" s="17"/>
    </row>
    <row r="277" customFormat="false" ht="15" hidden="false" customHeight="true" outlineLevel="0" collapsed="false">
      <c r="A277" s="88" t="str">
        <f aca="false">IF(C277="","",ROW()-5)</f>
        <v/>
      </c>
      <c r="B277" s="89"/>
      <c r="C277" s="88"/>
      <c r="D277" s="90"/>
      <c r="E277" s="88"/>
      <c r="F277" s="101"/>
      <c r="G277" s="92"/>
      <c r="H277" s="93"/>
      <c r="I277" s="17"/>
      <c r="J277" s="94"/>
      <c r="K277" s="17"/>
      <c r="L277" s="95"/>
      <c r="M277" s="18"/>
      <c r="N277" s="96"/>
      <c r="O277" s="96"/>
      <c r="P277" s="97"/>
      <c r="Q277" s="98"/>
      <c r="R277" s="99"/>
      <c r="S277" s="99"/>
      <c r="T277" s="95"/>
      <c r="U277" s="95"/>
      <c r="V277" s="94"/>
      <c r="W277" s="95"/>
      <c r="X277" s="95" t="str">
        <f aca="false">IF(C277="","",SUM(L277,T277,U277,W277))</f>
        <v/>
      </c>
      <c r="Y277" s="100" t="str">
        <f aca="false">IF(OR(C277="",H277=""),"",X277-H277)</f>
        <v/>
      </c>
      <c r="Z277" s="88"/>
      <c r="AA277" s="88"/>
      <c r="AB277" s="17"/>
      <c r="AC277" s="17"/>
    </row>
    <row r="278" customFormat="false" ht="15" hidden="false" customHeight="true" outlineLevel="0" collapsed="false">
      <c r="A278" s="88" t="str">
        <f aca="false">IF(C278="","",ROW()-5)</f>
        <v/>
      </c>
      <c r="B278" s="89"/>
      <c r="C278" s="88"/>
      <c r="D278" s="90"/>
      <c r="E278" s="88"/>
      <c r="F278" s="101"/>
      <c r="G278" s="92"/>
      <c r="H278" s="93"/>
      <c r="I278" s="17"/>
      <c r="J278" s="94"/>
      <c r="K278" s="17"/>
      <c r="L278" s="95"/>
      <c r="M278" s="18"/>
      <c r="N278" s="96"/>
      <c r="O278" s="96"/>
      <c r="P278" s="97"/>
      <c r="Q278" s="98"/>
      <c r="R278" s="99"/>
      <c r="S278" s="99"/>
      <c r="T278" s="95"/>
      <c r="U278" s="95"/>
      <c r="V278" s="94"/>
      <c r="W278" s="95"/>
      <c r="X278" s="95" t="str">
        <f aca="false">IF(C278="","",SUM(L278,T278,U278,W278))</f>
        <v/>
      </c>
      <c r="Y278" s="100" t="str">
        <f aca="false">IF(OR(C278="",H278=""),"",X278-H278)</f>
        <v/>
      </c>
      <c r="Z278" s="88"/>
      <c r="AA278" s="88"/>
      <c r="AB278" s="17"/>
      <c r="AC278" s="17"/>
    </row>
    <row r="279" customFormat="false" ht="15" hidden="false" customHeight="true" outlineLevel="0" collapsed="false">
      <c r="A279" s="88" t="str">
        <f aca="false">IF(C279="","",ROW()-5)</f>
        <v/>
      </c>
      <c r="B279" s="89"/>
      <c r="C279" s="88"/>
      <c r="D279" s="90"/>
      <c r="E279" s="88"/>
      <c r="F279" s="101"/>
      <c r="G279" s="92"/>
      <c r="H279" s="93"/>
      <c r="I279" s="17"/>
      <c r="J279" s="94"/>
      <c r="K279" s="17"/>
      <c r="L279" s="95"/>
      <c r="M279" s="18"/>
      <c r="N279" s="96"/>
      <c r="O279" s="96"/>
      <c r="P279" s="97"/>
      <c r="Q279" s="98"/>
      <c r="R279" s="99"/>
      <c r="S279" s="99"/>
      <c r="T279" s="95"/>
      <c r="U279" s="95"/>
      <c r="V279" s="94"/>
      <c r="W279" s="95"/>
      <c r="X279" s="95" t="str">
        <f aca="false">IF(C279="","",SUM(L279,T279,U279,W279))</f>
        <v/>
      </c>
      <c r="Y279" s="100" t="str">
        <f aca="false">IF(OR(C279="",H279=""),"",X279-H279)</f>
        <v/>
      </c>
      <c r="Z279" s="88"/>
      <c r="AA279" s="88"/>
      <c r="AB279" s="17"/>
      <c r="AC279" s="17"/>
    </row>
    <row r="280" customFormat="false" ht="15" hidden="false" customHeight="true" outlineLevel="0" collapsed="false">
      <c r="A280" s="88" t="str">
        <f aca="false">IF(C280="","",ROW()-5)</f>
        <v/>
      </c>
      <c r="B280" s="89"/>
      <c r="C280" s="88"/>
      <c r="D280" s="90"/>
      <c r="E280" s="88"/>
      <c r="F280" s="101"/>
      <c r="G280" s="92"/>
      <c r="H280" s="93"/>
      <c r="I280" s="17"/>
      <c r="J280" s="94"/>
      <c r="K280" s="17"/>
      <c r="L280" s="95"/>
      <c r="M280" s="18"/>
      <c r="N280" s="96"/>
      <c r="O280" s="96"/>
      <c r="P280" s="97"/>
      <c r="Q280" s="98"/>
      <c r="R280" s="99"/>
      <c r="S280" s="99"/>
      <c r="T280" s="95"/>
      <c r="U280" s="95"/>
      <c r="V280" s="94"/>
      <c r="W280" s="95"/>
      <c r="X280" s="95" t="str">
        <f aca="false">IF(C280="","",SUM(L280,T280,U280,W280))</f>
        <v/>
      </c>
      <c r="Y280" s="100" t="str">
        <f aca="false">IF(OR(C280="",H280=""),"",X280-H280)</f>
        <v/>
      </c>
      <c r="Z280" s="88"/>
      <c r="AA280" s="88"/>
      <c r="AB280" s="17"/>
      <c r="AC280" s="17"/>
    </row>
    <row r="281" customFormat="false" ht="15" hidden="false" customHeight="true" outlineLevel="0" collapsed="false">
      <c r="A281" s="88" t="str">
        <f aca="false">IF(C281="","",ROW()-5)</f>
        <v/>
      </c>
      <c r="B281" s="89"/>
      <c r="C281" s="88"/>
      <c r="D281" s="90"/>
      <c r="E281" s="88"/>
      <c r="F281" s="101"/>
      <c r="G281" s="92"/>
      <c r="H281" s="93"/>
      <c r="I281" s="17"/>
      <c r="J281" s="94"/>
      <c r="K281" s="17"/>
      <c r="L281" s="95"/>
      <c r="M281" s="18"/>
      <c r="N281" s="96"/>
      <c r="O281" s="96"/>
      <c r="P281" s="97"/>
      <c r="Q281" s="98"/>
      <c r="R281" s="99"/>
      <c r="S281" s="99"/>
      <c r="T281" s="95"/>
      <c r="U281" s="95"/>
      <c r="V281" s="94"/>
      <c r="W281" s="95"/>
      <c r="X281" s="95" t="str">
        <f aca="false">IF(C281="","",SUM(L281,T281,U281,W281))</f>
        <v/>
      </c>
      <c r="Y281" s="100" t="str">
        <f aca="false">IF(OR(C281="",H281=""),"",X281-H281)</f>
        <v/>
      </c>
      <c r="Z281" s="88"/>
      <c r="AA281" s="88"/>
      <c r="AB281" s="17"/>
      <c r="AC281" s="17"/>
    </row>
    <row r="282" customFormat="false" ht="15" hidden="false" customHeight="true" outlineLevel="0" collapsed="false">
      <c r="A282" s="88" t="str">
        <f aca="false">IF(C282="","",ROW()-5)</f>
        <v/>
      </c>
      <c r="B282" s="89"/>
      <c r="C282" s="88"/>
      <c r="D282" s="90"/>
      <c r="E282" s="88"/>
      <c r="F282" s="101"/>
      <c r="G282" s="92"/>
      <c r="H282" s="93"/>
      <c r="I282" s="17"/>
      <c r="J282" s="94"/>
      <c r="K282" s="17"/>
      <c r="L282" s="95"/>
      <c r="M282" s="18"/>
      <c r="N282" s="96"/>
      <c r="O282" s="96"/>
      <c r="P282" s="97"/>
      <c r="Q282" s="98"/>
      <c r="R282" s="99"/>
      <c r="S282" s="99"/>
      <c r="T282" s="95"/>
      <c r="U282" s="95"/>
      <c r="V282" s="94"/>
      <c r="W282" s="95"/>
      <c r="X282" s="95" t="str">
        <f aca="false">IF(C282="","",SUM(L282,T282,U282,W282))</f>
        <v/>
      </c>
      <c r="Y282" s="100" t="str">
        <f aca="false">IF(OR(C282="",H282=""),"",X282-H282)</f>
        <v/>
      </c>
      <c r="Z282" s="88"/>
      <c r="AA282" s="88"/>
      <c r="AB282" s="17"/>
      <c r="AC282" s="17"/>
    </row>
    <row r="283" customFormat="false" ht="15" hidden="false" customHeight="true" outlineLevel="0" collapsed="false">
      <c r="A283" s="88" t="str">
        <f aca="false">IF(C283="","",ROW()-5)</f>
        <v/>
      </c>
      <c r="B283" s="89"/>
      <c r="C283" s="88"/>
      <c r="D283" s="90"/>
      <c r="E283" s="88"/>
      <c r="F283" s="101"/>
      <c r="G283" s="92"/>
      <c r="H283" s="93"/>
      <c r="I283" s="17"/>
      <c r="J283" s="94"/>
      <c r="K283" s="17"/>
      <c r="L283" s="95"/>
      <c r="M283" s="18"/>
      <c r="N283" s="96"/>
      <c r="O283" s="96"/>
      <c r="P283" s="97"/>
      <c r="Q283" s="98"/>
      <c r="R283" s="99"/>
      <c r="S283" s="99"/>
      <c r="T283" s="95"/>
      <c r="U283" s="95"/>
      <c r="V283" s="94"/>
      <c r="W283" s="95"/>
      <c r="X283" s="95" t="str">
        <f aca="false">IF(C283="","",SUM(L283,T283,U283,W283))</f>
        <v/>
      </c>
      <c r="Y283" s="100" t="str">
        <f aca="false">IF(OR(C283="",H283=""),"",X283-H283)</f>
        <v/>
      </c>
      <c r="Z283" s="88"/>
      <c r="AA283" s="88"/>
      <c r="AB283" s="17"/>
      <c r="AC283" s="17"/>
    </row>
    <row r="284" customFormat="false" ht="15" hidden="false" customHeight="true" outlineLevel="0" collapsed="false">
      <c r="A284" s="88" t="str">
        <f aca="false">IF(C284="","",ROW()-5)</f>
        <v/>
      </c>
      <c r="B284" s="89"/>
      <c r="C284" s="88"/>
      <c r="D284" s="90"/>
      <c r="E284" s="88"/>
      <c r="F284" s="101"/>
      <c r="G284" s="92"/>
      <c r="H284" s="93"/>
      <c r="I284" s="17"/>
      <c r="J284" s="94"/>
      <c r="K284" s="17"/>
      <c r="L284" s="95"/>
      <c r="M284" s="18"/>
      <c r="N284" s="96"/>
      <c r="O284" s="96"/>
      <c r="P284" s="97"/>
      <c r="Q284" s="98"/>
      <c r="R284" s="99"/>
      <c r="S284" s="99"/>
      <c r="T284" s="95"/>
      <c r="U284" s="95"/>
      <c r="V284" s="94"/>
      <c r="W284" s="95"/>
      <c r="X284" s="95" t="str">
        <f aca="false">IF(C284="","",SUM(L284,T284,U284,W284))</f>
        <v/>
      </c>
      <c r="Y284" s="100" t="str">
        <f aca="false">IF(OR(C284="",H284=""),"",X284-H284)</f>
        <v/>
      </c>
      <c r="Z284" s="88"/>
      <c r="AA284" s="88"/>
      <c r="AB284" s="17"/>
      <c r="AC284" s="17"/>
    </row>
    <row r="285" customFormat="false" ht="15" hidden="false" customHeight="true" outlineLevel="0" collapsed="false">
      <c r="A285" s="88" t="str">
        <f aca="false">IF(C285="","",ROW()-5)</f>
        <v/>
      </c>
      <c r="B285" s="89"/>
      <c r="C285" s="88"/>
      <c r="D285" s="90"/>
      <c r="E285" s="88"/>
      <c r="F285" s="101"/>
      <c r="G285" s="92"/>
      <c r="H285" s="93"/>
      <c r="I285" s="17"/>
      <c r="J285" s="94"/>
      <c r="K285" s="17"/>
      <c r="L285" s="95"/>
      <c r="M285" s="18"/>
      <c r="N285" s="96"/>
      <c r="O285" s="96"/>
      <c r="P285" s="97"/>
      <c r="Q285" s="98"/>
      <c r="R285" s="99"/>
      <c r="S285" s="99"/>
      <c r="T285" s="95"/>
      <c r="U285" s="95"/>
      <c r="V285" s="94"/>
      <c r="W285" s="95"/>
      <c r="X285" s="95" t="str">
        <f aca="false">IF(C285="","",SUM(L285,T285,U285,W285))</f>
        <v/>
      </c>
      <c r="Y285" s="100" t="str">
        <f aca="false">IF(OR(C285="",H285=""),"",X285-H285)</f>
        <v/>
      </c>
      <c r="Z285" s="88"/>
      <c r="AA285" s="88"/>
      <c r="AB285" s="17"/>
      <c r="AC285" s="17"/>
    </row>
    <row r="286" customFormat="false" ht="15" hidden="false" customHeight="true" outlineLevel="0" collapsed="false">
      <c r="A286" s="88" t="str">
        <f aca="false">IF(C286="","",ROW()-5)</f>
        <v/>
      </c>
      <c r="B286" s="89"/>
      <c r="C286" s="88"/>
      <c r="D286" s="90"/>
      <c r="E286" s="88"/>
      <c r="F286" s="101"/>
      <c r="G286" s="92"/>
      <c r="H286" s="93"/>
      <c r="I286" s="17"/>
      <c r="J286" s="94"/>
      <c r="K286" s="17"/>
      <c r="L286" s="95"/>
      <c r="M286" s="18"/>
      <c r="N286" s="96"/>
      <c r="O286" s="96"/>
      <c r="P286" s="97"/>
      <c r="Q286" s="98"/>
      <c r="R286" s="99"/>
      <c r="S286" s="99"/>
      <c r="T286" s="95"/>
      <c r="U286" s="95"/>
      <c r="V286" s="94"/>
      <c r="W286" s="95"/>
      <c r="X286" s="95" t="str">
        <f aca="false">IF(C286="","",SUM(L286,T286,U286,W286))</f>
        <v/>
      </c>
      <c r="Y286" s="100" t="str">
        <f aca="false">IF(OR(C286="",H286=""),"",X286-H286)</f>
        <v/>
      </c>
      <c r="Z286" s="88"/>
      <c r="AA286" s="88"/>
      <c r="AB286" s="17"/>
      <c r="AC286" s="17"/>
    </row>
    <row r="287" customFormat="false" ht="15" hidden="false" customHeight="true" outlineLevel="0" collapsed="false">
      <c r="A287" s="88" t="str">
        <f aca="false">IF(C287="","",ROW()-5)</f>
        <v/>
      </c>
      <c r="B287" s="89"/>
      <c r="C287" s="88"/>
      <c r="D287" s="90"/>
      <c r="E287" s="88"/>
      <c r="F287" s="101"/>
      <c r="G287" s="92"/>
      <c r="H287" s="93"/>
      <c r="I287" s="17"/>
      <c r="J287" s="94"/>
      <c r="K287" s="17"/>
      <c r="L287" s="95"/>
      <c r="M287" s="18"/>
      <c r="N287" s="96"/>
      <c r="O287" s="96"/>
      <c r="P287" s="97"/>
      <c r="Q287" s="98"/>
      <c r="R287" s="99"/>
      <c r="S287" s="99"/>
      <c r="T287" s="95"/>
      <c r="U287" s="95"/>
      <c r="V287" s="94"/>
      <c r="W287" s="95"/>
      <c r="X287" s="95" t="str">
        <f aca="false">IF(C287="","",SUM(L287,T287,U287,W287))</f>
        <v/>
      </c>
      <c r="Y287" s="100" t="str">
        <f aca="false">IF(OR(C287="",H287=""),"",X287-H287)</f>
        <v/>
      </c>
      <c r="Z287" s="88"/>
      <c r="AA287" s="88"/>
      <c r="AB287" s="17"/>
      <c r="AC287" s="17"/>
    </row>
    <row r="288" customFormat="false" ht="15" hidden="false" customHeight="true" outlineLevel="0" collapsed="false">
      <c r="A288" s="88" t="str">
        <f aca="false">IF(C288="","",ROW()-5)</f>
        <v/>
      </c>
      <c r="B288" s="89"/>
      <c r="C288" s="88"/>
      <c r="D288" s="90"/>
      <c r="E288" s="88"/>
      <c r="F288" s="101"/>
      <c r="G288" s="92"/>
      <c r="H288" s="93"/>
      <c r="I288" s="17"/>
      <c r="J288" s="94"/>
      <c r="K288" s="17"/>
      <c r="L288" s="95"/>
      <c r="M288" s="18"/>
      <c r="N288" s="96"/>
      <c r="O288" s="96"/>
      <c r="P288" s="97"/>
      <c r="Q288" s="98"/>
      <c r="R288" s="99"/>
      <c r="S288" s="99"/>
      <c r="T288" s="95"/>
      <c r="U288" s="95"/>
      <c r="V288" s="94"/>
      <c r="W288" s="95"/>
      <c r="X288" s="95" t="str">
        <f aca="false">IF(C288="","",SUM(L288,T288,U288,W288))</f>
        <v/>
      </c>
      <c r="Y288" s="100" t="str">
        <f aca="false">IF(OR(C288="",H288=""),"",X288-H288)</f>
        <v/>
      </c>
      <c r="Z288" s="88"/>
      <c r="AA288" s="88"/>
      <c r="AB288" s="17"/>
      <c r="AC288" s="17"/>
    </row>
    <row r="289" customFormat="false" ht="15" hidden="false" customHeight="true" outlineLevel="0" collapsed="false">
      <c r="A289" s="88" t="str">
        <f aca="false">IF(C289="","",ROW()-5)</f>
        <v/>
      </c>
      <c r="B289" s="89"/>
      <c r="C289" s="88"/>
      <c r="D289" s="90"/>
      <c r="E289" s="88"/>
      <c r="F289" s="101"/>
      <c r="G289" s="92"/>
      <c r="H289" s="93"/>
      <c r="I289" s="17"/>
      <c r="J289" s="94"/>
      <c r="K289" s="17"/>
      <c r="L289" s="95"/>
      <c r="M289" s="18"/>
      <c r="N289" s="96"/>
      <c r="O289" s="96"/>
      <c r="P289" s="97"/>
      <c r="Q289" s="98"/>
      <c r="R289" s="99"/>
      <c r="S289" s="99"/>
      <c r="T289" s="95"/>
      <c r="U289" s="95"/>
      <c r="V289" s="94"/>
      <c r="W289" s="95"/>
      <c r="X289" s="95" t="str">
        <f aca="false">IF(C289="","",SUM(L289,T289,U289,W289))</f>
        <v/>
      </c>
      <c r="Y289" s="100" t="str">
        <f aca="false">IF(OR(C289="",H289=""),"",X289-H289)</f>
        <v/>
      </c>
      <c r="Z289" s="88"/>
      <c r="AA289" s="88"/>
      <c r="AB289" s="17"/>
      <c r="AC289" s="17"/>
    </row>
    <row r="290" customFormat="false" ht="15" hidden="false" customHeight="true" outlineLevel="0" collapsed="false">
      <c r="A290" s="88" t="str">
        <f aca="false">IF(C290="","",ROW()-5)</f>
        <v/>
      </c>
      <c r="B290" s="89"/>
      <c r="C290" s="88"/>
      <c r="D290" s="90"/>
      <c r="E290" s="88"/>
      <c r="F290" s="101"/>
      <c r="G290" s="92"/>
      <c r="H290" s="93"/>
      <c r="I290" s="17"/>
      <c r="J290" s="94"/>
      <c r="K290" s="17"/>
      <c r="L290" s="95"/>
      <c r="M290" s="18"/>
      <c r="N290" s="96"/>
      <c r="O290" s="96"/>
      <c r="P290" s="97"/>
      <c r="Q290" s="98"/>
      <c r="R290" s="99"/>
      <c r="S290" s="99"/>
      <c r="T290" s="95"/>
      <c r="U290" s="95"/>
      <c r="V290" s="94"/>
      <c r="W290" s="95"/>
      <c r="X290" s="95" t="str">
        <f aca="false">IF(C290="","",SUM(L290,T290,U290,W290))</f>
        <v/>
      </c>
      <c r="Y290" s="100" t="str">
        <f aca="false">IF(OR(C290="",H290=""),"",X290-H290)</f>
        <v/>
      </c>
      <c r="Z290" s="88"/>
      <c r="AA290" s="88"/>
      <c r="AB290" s="17"/>
      <c r="AC290" s="17"/>
    </row>
    <row r="291" customFormat="false" ht="15" hidden="false" customHeight="true" outlineLevel="0" collapsed="false">
      <c r="A291" s="88" t="str">
        <f aca="false">IF(C291="","",ROW()-5)</f>
        <v/>
      </c>
      <c r="B291" s="89"/>
      <c r="C291" s="88"/>
      <c r="D291" s="90"/>
      <c r="E291" s="88"/>
      <c r="F291" s="101"/>
      <c r="G291" s="92"/>
      <c r="H291" s="93"/>
      <c r="I291" s="17"/>
      <c r="J291" s="94"/>
      <c r="K291" s="17"/>
      <c r="L291" s="95"/>
      <c r="M291" s="18"/>
      <c r="N291" s="96"/>
      <c r="O291" s="96"/>
      <c r="P291" s="97"/>
      <c r="Q291" s="98"/>
      <c r="R291" s="99"/>
      <c r="S291" s="99"/>
      <c r="T291" s="95"/>
      <c r="U291" s="95"/>
      <c r="V291" s="94"/>
      <c r="W291" s="95"/>
      <c r="X291" s="95" t="str">
        <f aca="false">IF(C291="","",SUM(L291,T291,U291,W291))</f>
        <v/>
      </c>
      <c r="Y291" s="100" t="str">
        <f aca="false">IF(OR(C291="",H291=""),"",X291-H291)</f>
        <v/>
      </c>
      <c r="Z291" s="88"/>
      <c r="AA291" s="88"/>
      <c r="AB291" s="17"/>
      <c r="AC291" s="17"/>
    </row>
    <row r="292" customFormat="false" ht="15" hidden="false" customHeight="true" outlineLevel="0" collapsed="false">
      <c r="A292" s="88" t="str">
        <f aca="false">IF(C292="","",ROW()-5)</f>
        <v/>
      </c>
      <c r="B292" s="89"/>
      <c r="C292" s="88"/>
      <c r="D292" s="90"/>
      <c r="E292" s="88"/>
      <c r="F292" s="101"/>
      <c r="G292" s="92"/>
      <c r="H292" s="93"/>
      <c r="I292" s="17"/>
      <c r="J292" s="94"/>
      <c r="K292" s="17"/>
      <c r="L292" s="95"/>
      <c r="M292" s="18"/>
      <c r="N292" s="96"/>
      <c r="O292" s="96"/>
      <c r="P292" s="97"/>
      <c r="Q292" s="98"/>
      <c r="R292" s="99"/>
      <c r="S292" s="99"/>
      <c r="T292" s="95"/>
      <c r="U292" s="95"/>
      <c r="V292" s="94"/>
      <c r="W292" s="95"/>
      <c r="X292" s="95" t="str">
        <f aca="false">IF(C292="","",SUM(L292,T292,U292,W292))</f>
        <v/>
      </c>
      <c r="Y292" s="100" t="str">
        <f aca="false">IF(OR(C292="",H292=""),"",X292-H292)</f>
        <v/>
      </c>
      <c r="Z292" s="88"/>
      <c r="AA292" s="88"/>
      <c r="AB292" s="17"/>
      <c r="AC292" s="17"/>
    </row>
    <row r="293" customFormat="false" ht="15" hidden="false" customHeight="true" outlineLevel="0" collapsed="false">
      <c r="A293" s="88" t="str">
        <f aca="false">IF(C293="","",ROW()-5)</f>
        <v/>
      </c>
      <c r="B293" s="89"/>
      <c r="C293" s="88"/>
      <c r="D293" s="90"/>
      <c r="E293" s="88"/>
      <c r="F293" s="101"/>
      <c r="G293" s="92"/>
      <c r="H293" s="93"/>
      <c r="I293" s="17"/>
      <c r="J293" s="94"/>
      <c r="K293" s="17"/>
      <c r="L293" s="95"/>
      <c r="M293" s="18"/>
      <c r="N293" s="96"/>
      <c r="O293" s="96"/>
      <c r="P293" s="97"/>
      <c r="Q293" s="98"/>
      <c r="R293" s="99"/>
      <c r="S293" s="99"/>
      <c r="T293" s="95"/>
      <c r="U293" s="95"/>
      <c r="V293" s="94"/>
      <c r="W293" s="95"/>
      <c r="X293" s="95" t="str">
        <f aca="false">IF(C293="","",SUM(L293,T293,U293,W293))</f>
        <v/>
      </c>
      <c r="Y293" s="100" t="str">
        <f aca="false">IF(OR(C293="",H293=""),"",X293-H293)</f>
        <v/>
      </c>
      <c r="Z293" s="88"/>
      <c r="AA293" s="88"/>
      <c r="AB293" s="17"/>
      <c r="AC293" s="17"/>
    </row>
    <row r="294" customFormat="false" ht="15" hidden="false" customHeight="true" outlineLevel="0" collapsed="false">
      <c r="A294" s="88" t="str">
        <f aca="false">IF(C294="","",ROW()-5)</f>
        <v/>
      </c>
      <c r="B294" s="89"/>
      <c r="C294" s="88"/>
      <c r="D294" s="90"/>
      <c r="E294" s="88"/>
      <c r="F294" s="101"/>
      <c r="G294" s="92"/>
      <c r="H294" s="93"/>
      <c r="I294" s="17"/>
      <c r="J294" s="94"/>
      <c r="K294" s="17"/>
      <c r="L294" s="95"/>
      <c r="M294" s="18"/>
      <c r="N294" s="96"/>
      <c r="O294" s="96"/>
      <c r="P294" s="97"/>
      <c r="Q294" s="98"/>
      <c r="R294" s="99"/>
      <c r="S294" s="99"/>
      <c r="T294" s="95"/>
      <c r="U294" s="95"/>
      <c r="V294" s="94"/>
      <c r="W294" s="95"/>
      <c r="X294" s="95" t="str">
        <f aca="false">IF(C294="","",SUM(L294,T294,U294,W294))</f>
        <v/>
      </c>
      <c r="Y294" s="100" t="str">
        <f aca="false">IF(OR(C294="",H294=""),"",X294-H294)</f>
        <v/>
      </c>
      <c r="Z294" s="88"/>
      <c r="AA294" s="88"/>
      <c r="AB294" s="17"/>
      <c r="AC294" s="17"/>
    </row>
    <row r="295" customFormat="false" ht="15" hidden="false" customHeight="true" outlineLevel="0" collapsed="false">
      <c r="A295" s="88" t="str">
        <f aca="false">IF(C295="","",ROW()-5)</f>
        <v/>
      </c>
      <c r="B295" s="89"/>
      <c r="C295" s="88"/>
      <c r="D295" s="90"/>
      <c r="E295" s="88"/>
      <c r="F295" s="101"/>
      <c r="G295" s="92"/>
      <c r="H295" s="93"/>
      <c r="I295" s="17"/>
      <c r="J295" s="94"/>
      <c r="K295" s="17"/>
      <c r="L295" s="95"/>
      <c r="M295" s="18"/>
      <c r="N295" s="96"/>
      <c r="O295" s="96"/>
      <c r="P295" s="97"/>
      <c r="Q295" s="98"/>
      <c r="R295" s="99"/>
      <c r="S295" s="99"/>
      <c r="T295" s="95"/>
      <c r="U295" s="95"/>
      <c r="V295" s="94"/>
      <c r="W295" s="95"/>
      <c r="X295" s="95" t="str">
        <f aca="false">IF(C295="","",SUM(L295,T295,U295,W295))</f>
        <v/>
      </c>
      <c r="Y295" s="100" t="str">
        <f aca="false">IF(OR(C295="",H295=""),"",X295-H295)</f>
        <v/>
      </c>
      <c r="Z295" s="88"/>
      <c r="AA295" s="88"/>
      <c r="AB295" s="17"/>
      <c r="AC295" s="17"/>
    </row>
    <row r="296" customFormat="false" ht="15" hidden="false" customHeight="true" outlineLevel="0" collapsed="false">
      <c r="A296" s="88" t="str">
        <f aca="false">IF(C296="","",ROW()-5)</f>
        <v/>
      </c>
      <c r="B296" s="89"/>
      <c r="C296" s="88"/>
      <c r="D296" s="90"/>
      <c r="E296" s="88"/>
      <c r="F296" s="101"/>
      <c r="G296" s="92"/>
      <c r="H296" s="93"/>
      <c r="I296" s="17"/>
      <c r="J296" s="94"/>
      <c r="K296" s="17"/>
      <c r="L296" s="95"/>
      <c r="M296" s="18"/>
      <c r="N296" s="96"/>
      <c r="O296" s="96"/>
      <c r="P296" s="97"/>
      <c r="Q296" s="98"/>
      <c r="R296" s="99"/>
      <c r="S296" s="99"/>
      <c r="T296" s="95"/>
      <c r="U296" s="95"/>
      <c r="V296" s="94"/>
      <c r="W296" s="95"/>
      <c r="X296" s="95" t="str">
        <f aca="false">IF(C296="","",SUM(L296,T296,U296,W296))</f>
        <v/>
      </c>
      <c r="Y296" s="100" t="str">
        <f aca="false">IF(OR(C296="",H296=""),"",X296-H296)</f>
        <v/>
      </c>
      <c r="Z296" s="88"/>
      <c r="AA296" s="88"/>
      <c r="AB296" s="17"/>
      <c r="AC296" s="17"/>
    </row>
    <row r="297" customFormat="false" ht="15" hidden="false" customHeight="true" outlineLevel="0" collapsed="false">
      <c r="A297" s="88" t="str">
        <f aca="false">IF(C297="","",ROW()-5)</f>
        <v/>
      </c>
      <c r="B297" s="89"/>
      <c r="C297" s="88"/>
      <c r="D297" s="90"/>
      <c r="E297" s="88"/>
      <c r="F297" s="101"/>
      <c r="G297" s="92"/>
      <c r="H297" s="93"/>
      <c r="I297" s="17"/>
      <c r="J297" s="94"/>
      <c r="K297" s="17"/>
      <c r="L297" s="95"/>
      <c r="M297" s="18"/>
      <c r="N297" s="96"/>
      <c r="O297" s="96"/>
      <c r="P297" s="97"/>
      <c r="Q297" s="98"/>
      <c r="R297" s="99"/>
      <c r="S297" s="99"/>
      <c r="T297" s="95"/>
      <c r="U297" s="95"/>
      <c r="V297" s="94"/>
      <c r="W297" s="95"/>
      <c r="X297" s="95" t="str">
        <f aca="false">IF(C297="","",SUM(L297,T297,U297,W297))</f>
        <v/>
      </c>
      <c r="Y297" s="100" t="str">
        <f aca="false">IF(OR(C297="",H297=""),"",X297-H297)</f>
        <v/>
      </c>
      <c r="Z297" s="88"/>
      <c r="AA297" s="88"/>
      <c r="AB297" s="17"/>
      <c r="AC297" s="17"/>
    </row>
    <row r="298" customFormat="false" ht="15" hidden="false" customHeight="true" outlineLevel="0" collapsed="false">
      <c r="A298" s="88" t="str">
        <f aca="false">IF(C298="","",ROW()-5)</f>
        <v/>
      </c>
      <c r="B298" s="89"/>
      <c r="C298" s="88"/>
      <c r="D298" s="90"/>
      <c r="E298" s="88"/>
      <c r="F298" s="101"/>
      <c r="G298" s="92"/>
      <c r="H298" s="93"/>
      <c r="I298" s="17"/>
      <c r="J298" s="94"/>
      <c r="K298" s="17"/>
      <c r="L298" s="95"/>
      <c r="M298" s="18"/>
      <c r="N298" s="96"/>
      <c r="O298" s="96"/>
      <c r="P298" s="97"/>
      <c r="Q298" s="98"/>
      <c r="R298" s="99"/>
      <c r="S298" s="99"/>
      <c r="T298" s="95"/>
      <c r="U298" s="95"/>
      <c r="V298" s="94"/>
      <c r="W298" s="95"/>
      <c r="X298" s="95" t="str">
        <f aca="false">IF(C298="","",SUM(L298,T298,U298,W298))</f>
        <v/>
      </c>
      <c r="Y298" s="100" t="str">
        <f aca="false">IF(OR(C298="",H298=""),"",X298-H298)</f>
        <v/>
      </c>
      <c r="Z298" s="88"/>
      <c r="AA298" s="88"/>
      <c r="AB298" s="17"/>
      <c r="AC298" s="17"/>
    </row>
    <row r="299" customFormat="false" ht="15" hidden="false" customHeight="true" outlineLevel="0" collapsed="false">
      <c r="A299" s="88" t="str">
        <f aca="false">IF(C299="","",ROW()-5)</f>
        <v/>
      </c>
      <c r="B299" s="89"/>
      <c r="C299" s="88"/>
      <c r="D299" s="90"/>
      <c r="E299" s="88"/>
      <c r="F299" s="101"/>
      <c r="G299" s="92"/>
      <c r="H299" s="93"/>
      <c r="I299" s="17"/>
      <c r="J299" s="94"/>
      <c r="K299" s="17"/>
      <c r="L299" s="95"/>
      <c r="M299" s="18"/>
      <c r="N299" s="96"/>
      <c r="O299" s="96"/>
      <c r="P299" s="97"/>
      <c r="Q299" s="98"/>
      <c r="R299" s="99"/>
      <c r="S299" s="99"/>
      <c r="T299" s="95"/>
      <c r="U299" s="95"/>
      <c r="V299" s="94"/>
      <c r="W299" s="95"/>
      <c r="X299" s="95" t="str">
        <f aca="false">IF(C299="","",SUM(L299,T299,U299,W299))</f>
        <v/>
      </c>
      <c r="Y299" s="100" t="str">
        <f aca="false">IF(OR(C299="",H299=""),"",X299-H299)</f>
        <v/>
      </c>
      <c r="Z299" s="88"/>
      <c r="AA299" s="88"/>
      <c r="AB299" s="17"/>
      <c r="AC299" s="17"/>
    </row>
    <row r="300" customFormat="false" ht="15" hidden="false" customHeight="true" outlineLevel="0" collapsed="false">
      <c r="A300" s="88" t="str">
        <f aca="false">IF(C300="","",ROW()-5)</f>
        <v/>
      </c>
      <c r="B300" s="89"/>
      <c r="C300" s="88"/>
      <c r="D300" s="90"/>
      <c r="E300" s="88"/>
      <c r="F300" s="101"/>
      <c r="G300" s="92"/>
      <c r="H300" s="93"/>
      <c r="I300" s="17"/>
      <c r="J300" s="94"/>
      <c r="K300" s="17"/>
      <c r="L300" s="95"/>
      <c r="M300" s="18"/>
      <c r="N300" s="96"/>
      <c r="O300" s="96"/>
      <c r="P300" s="97"/>
      <c r="Q300" s="98"/>
      <c r="R300" s="99"/>
      <c r="S300" s="99"/>
      <c r="T300" s="95"/>
      <c r="U300" s="95"/>
      <c r="V300" s="94"/>
      <c r="W300" s="95"/>
      <c r="X300" s="95" t="str">
        <f aca="false">IF(C300="","",SUM(L300,T300,U300,W300))</f>
        <v/>
      </c>
      <c r="Y300" s="100" t="str">
        <f aca="false">IF(OR(C300="",H300=""),"",X300-H300)</f>
        <v/>
      </c>
      <c r="Z300" s="88"/>
      <c r="AA300" s="88"/>
      <c r="AB300" s="17"/>
      <c r="AC300" s="17"/>
    </row>
  </sheetData>
  <autoFilter ref="A5:AC300"/>
  <mergeCells count="1">
    <mergeCell ref="R4:S4"/>
  </mergeCells>
  <dataValidations count="7">
    <dataValidation allowBlank="true" errorStyle="stop" operator="between" showDropDown="false" showErrorMessage="false" showInputMessage="false" sqref="B6:B300" type="list">
      <formula1>"시스템·기능,성능·품질,인터페이스,데이터,보안,테스트,제약,프로젝트관리,프로젝트지원,기타"</formula1>
      <formula2>0</formula2>
    </dataValidation>
    <dataValidation allowBlank="true" errorStyle="stop" operator="between" showDropDown="false" showErrorMessage="false" showInputMessage="false" sqref="G6:G300 P6:P300" type="list">
      <formula1>"상,중,하"</formula1>
      <formula2>0</formula2>
    </dataValidation>
    <dataValidation allowBlank="true" errorStyle="stop" operator="between" showDropDown="false" showErrorMessage="false" showInputMessage="false" sqref="I6:I300" type="list">
      <formula1>"솔루션개발그룹,LLM그룹,KS그룹,음성그룹,비전그룹,자율에이전트그룹,해당없음"</formula1>
      <formula2>0</formula2>
    </dataValidation>
    <dataValidation allowBlank="true" errorStyle="stop" operator="between" showDropDown="false" showErrorMessage="false" showInputMessage="false" sqref="N6:N300" type="list">
      <formula1>"D1 제품 활용 개발,D2 커스터마이징 신규개발(SI),D3 연계 개발,D4 비개발(관리·지원),D5 해당없음(제품 종결)"</formula1>
      <formula2>0</formula2>
    </dataValidation>
    <dataValidation allowBlank="true" errorStyle="stop" operator="between" showDropDown="false" showErrorMessage="false" showInputMessage="false" sqref="O6:O300" type="list">
      <formula1>"O,△,X"</formula1>
      <formula2>0</formula2>
    </dataValidation>
    <dataValidation allowBlank="true" errorStyle="stop" operator="between" showDropDown="false" showErrorMessage="false" showInputMessage="false" sqref="V6:V300" type="list">
      <formula1>"자체수행,외주(하도급),공동수급,상용SW 구매,발주처 제공,해당없음"</formula1>
      <formula2>0</formula2>
    </dataValidation>
    <dataValidation allowBlank="true" errorStyle="stop" operator="between" showDropDown="false" showErrorMessage="false" showInputMessage="false" sqref="J6:J300" type="list">
      <formula1>"F1 제품 기본기능,F2 제품 설정·구성,F3 제품 추가개발,F4 제품 미지원(SI 대상),F5 비개발(계약·관리)"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2" activeCellId="0" sqref="A2"/>
    </sheetView>
  </sheetViews>
  <sheetFormatPr defaultColWidth="8.5703125" defaultRowHeight="15" zeroHeight="false" outlineLevelRow="0" outlineLevelCol="0"/>
  <cols>
    <col collapsed="false" customWidth="true" hidden="false" outlineLevel="0" max="1" min="1" style="55" width="10"/>
    <col collapsed="false" customWidth="true" hidden="false" outlineLevel="0" max="2" min="2" style="55" width="12"/>
    <col collapsed="false" customWidth="true" hidden="false" outlineLevel="0" max="3" min="3" style="55" width="25.85"/>
    <col collapsed="false" customWidth="true" hidden="false" outlineLevel="0" max="4" min="4" style="55" width="44"/>
    <col collapsed="false" customWidth="true" hidden="false" outlineLevel="0" max="5" min="5" style="55" width="18"/>
    <col collapsed="false" customWidth="true" hidden="false" outlineLevel="0" max="6" min="6" style="55" width="10"/>
    <col collapsed="false" customWidth="true" hidden="false" outlineLevel="0" max="8" min="7" style="55" width="9"/>
    <col collapsed="false" customWidth="true" hidden="false" outlineLevel="0" max="9" min="9" style="55" width="10"/>
    <col collapsed="false" customWidth="true" hidden="false" outlineLevel="0" max="10" min="10" style="55" width="40"/>
    <col collapsed="false" customWidth="true" hidden="false" outlineLevel="0" max="11" min="11" style="55" width="14"/>
    <col collapsed="false" customWidth="true" hidden="false" outlineLevel="0" max="12" min="12" style="55" width="15.14"/>
    <col collapsed="false" customWidth="true" hidden="false" outlineLevel="0" max="13" min="13" style="55" width="10"/>
  </cols>
  <sheetData>
    <row r="1" customFormat="false" ht="21" hidden="false" customHeight="true" outlineLevel="0" collapsed="false">
      <c r="A1" s="69" t="s">
        <v>556</v>
      </c>
    </row>
    <row r="2" customFormat="false" ht="15" hidden="false" customHeight="true" outlineLevel="0" collapsed="false">
      <c r="A2" s="71" t="s">
        <v>557</v>
      </c>
    </row>
    <row r="4" customFormat="false" ht="33.75" hidden="false" customHeight="true" outlineLevel="0" collapsed="false">
      <c r="A4" s="61" t="s">
        <v>159</v>
      </c>
      <c r="B4" s="61" t="s">
        <v>105</v>
      </c>
      <c r="C4" s="61" t="s">
        <v>558</v>
      </c>
      <c r="D4" s="61" t="s">
        <v>559</v>
      </c>
      <c r="E4" s="61" t="s">
        <v>560</v>
      </c>
      <c r="F4" s="61" t="s">
        <v>561</v>
      </c>
      <c r="G4" s="61" t="s">
        <v>562</v>
      </c>
      <c r="H4" s="61" t="s">
        <v>563</v>
      </c>
      <c r="I4" s="61" t="s">
        <v>564</v>
      </c>
      <c r="J4" s="61" t="s">
        <v>565</v>
      </c>
      <c r="K4" s="61" t="s">
        <v>566</v>
      </c>
      <c r="L4" s="61" t="s">
        <v>567</v>
      </c>
      <c r="M4" s="61" t="s">
        <v>568</v>
      </c>
    </row>
    <row r="5" customFormat="false" ht="72" hidden="false" customHeight="true" outlineLevel="0" collapsed="false">
      <c r="A5" s="88"/>
      <c r="B5" s="92"/>
      <c r="C5" s="18"/>
      <c r="D5" s="18"/>
      <c r="E5" s="18"/>
      <c r="F5" s="92"/>
      <c r="G5" s="92"/>
      <c r="H5" s="88"/>
      <c r="I5" s="92"/>
      <c r="J5" s="18"/>
      <c r="K5" s="88"/>
      <c r="L5" s="88"/>
      <c r="M5" s="92"/>
    </row>
    <row r="6" customFormat="false" ht="72" hidden="false" customHeight="true" outlineLevel="0" collapsed="false">
      <c r="A6" s="88"/>
      <c r="B6" s="92"/>
      <c r="C6" s="17"/>
      <c r="D6" s="17"/>
      <c r="E6" s="17"/>
      <c r="F6" s="92"/>
      <c r="G6" s="92"/>
      <c r="H6" s="88"/>
      <c r="I6" s="92"/>
      <c r="J6" s="18"/>
      <c r="K6" s="92"/>
      <c r="L6" s="92"/>
      <c r="M6" s="92"/>
    </row>
    <row r="7" customFormat="false" ht="72" hidden="false" customHeight="true" outlineLevel="0" collapsed="false">
      <c r="A7" s="92" t="str">
        <f aca="false">IF(C7="","","R-"&amp;TEXT(ROW()-4,"00"))</f>
        <v/>
      </c>
      <c r="B7" s="92"/>
      <c r="C7" s="18"/>
      <c r="D7" s="17"/>
      <c r="E7" s="17"/>
      <c r="F7" s="92"/>
      <c r="G7" s="92"/>
      <c r="H7" s="92"/>
      <c r="I7" s="92"/>
      <c r="J7" s="18"/>
      <c r="K7" s="92"/>
      <c r="L7" s="92"/>
      <c r="M7" s="92"/>
    </row>
    <row r="8" customFormat="false" ht="69" hidden="false" customHeight="true" outlineLevel="0" collapsed="false">
      <c r="A8" s="92" t="str">
        <f aca="false">IF(C8="","","R-"&amp;TEXT(ROW()-4,"00"))</f>
        <v/>
      </c>
      <c r="B8" s="92"/>
      <c r="C8" s="18"/>
      <c r="D8" s="17"/>
      <c r="E8" s="17"/>
      <c r="F8" s="92"/>
      <c r="G8" s="92"/>
      <c r="H8" s="92"/>
      <c r="I8" s="92"/>
      <c r="J8" s="17"/>
      <c r="K8" s="88"/>
      <c r="L8" s="92"/>
      <c r="M8" s="92"/>
    </row>
    <row r="9" customFormat="false" ht="72" hidden="false" customHeight="true" outlineLevel="0" collapsed="false">
      <c r="A9" s="92" t="str">
        <f aca="false">IF(C9="","","R-"&amp;TEXT(ROW()-4,"00"))</f>
        <v/>
      </c>
      <c r="B9" s="92"/>
      <c r="C9" s="18"/>
      <c r="D9" s="18"/>
      <c r="E9" s="17"/>
      <c r="F9" s="92"/>
      <c r="G9" s="92"/>
      <c r="H9" s="92"/>
      <c r="I9" s="92"/>
      <c r="J9" s="18"/>
      <c r="K9" s="88"/>
      <c r="L9" s="88"/>
      <c r="M9" s="92"/>
    </row>
    <row r="10" customFormat="false" ht="69" hidden="false" customHeight="true" outlineLevel="0" collapsed="false">
      <c r="A10" s="92" t="str">
        <f aca="false">IF(C10="","","R-"&amp;TEXT(ROW()-4,"00"))</f>
        <v/>
      </c>
      <c r="B10" s="92"/>
      <c r="C10" s="18"/>
      <c r="D10" s="18"/>
      <c r="E10" s="17"/>
      <c r="F10" s="92"/>
      <c r="G10" s="92"/>
      <c r="H10" s="92"/>
      <c r="I10" s="92"/>
      <c r="J10" s="18"/>
      <c r="K10" s="92"/>
      <c r="L10" s="88"/>
      <c r="M10" s="92"/>
    </row>
    <row r="11" customFormat="false" ht="57.75" hidden="false" customHeight="true" outlineLevel="0" collapsed="false">
      <c r="A11" s="92" t="str">
        <f aca="false">IF(C11="","","R-"&amp;TEXT(ROW()-4,"00"))</f>
        <v/>
      </c>
      <c r="B11" s="92"/>
      <c r="C11" s="18"/>
      <c r="D11" s="17"/>
      <c r="E11" s="17"/>
      <c r="F11" s="92"/>
      <c r="G11" s="92"/>
      <c r="H11" s="92"/>
      <c r="I11" s="92"/>
      <c r="J11" s="18"/>
      <c r="K11" s="88"/>
      <c r="L11" s="92"/>
      <c r="M11" s="92"/>
    </row>
    <row r="12" customFormat="false" ht="57.75" hidden="false" customHeight="true" outlineLevel="0" collapsed="false">
      <c r="A12" s="92" t="str">
        <f aca="false">IF(C12="","","R-"&amp;TEXT(ROW()-4,"00"))</f>
        <v/>
      </c>
      <c r="B12" s="92"/>
      <c r="C12" s="17"/>
      <c r="D12" s="18"/>
      <c r="E12" s="17"/>
      <c r="F12" s="92"/>
      <c r="G12" s="92"/>
      <c r="H12" s="92"/>
      <c r="I12" s="92"/>
      <c r="J12" s="18"/>
      <c r="K12" s="88"/>
      <c r="L12" s="92"/>
      <c r="M12" s="92"/>
    </row>
    <row r="13" customFormat="false" ht="54.75" hidden="false" customHeight="true" outlineLevel="0" collapsed="false">
      <c r="A13" s="92" t="str">
        <f aca="false">IF(C13="","","R-"&amp;TEXT(ROW()-4,"00"))</f>
        <v/>
      </c>
      <c r="B13" s="92"/>
      <c r="C13" s="18"/>
      <c r="D13" s="18"/>
      <c r="E13" s="17"/>
      <c r="F13" s="92"/>
      <c r="G13" s="92"/>
      <c r="H13" s="92"/>
      <c r="I13" s="92"/>
      <c r="J13" s="18"/>
      <c r="K13" s="88"/>
      <c r="L13" s="92"/>
      <c r="M13" s="92"/>
    </row>
    <row r="14" customFormat="false" ht="54.75" hidden="false" customHeight="true" outlineLevel="0" collapsed="false">
      <c r="A14" s="92" t="str">
        <f aca="false">IF(C14="","","R-"&amp;TEXT(ROW()-4,"00"))</f>
        <v/>
      </c>
      <c r="B14" s="92"/>
      <c r="C14" s="17"/>
      <c r="D14" s="17"/>
      <c r="E14" s="17"/>
      <c r="F14" s="92"/>
      <c r="G14" s="92"/>
      <c r="H14" s="92"/>
      <c r="I14" s="92"/>
      <c r="J14" s="18"/>
      <c r="K14" s="92"/>
      <c r="L14" s="92"/>
      <c r="M14" s="92"/>
    </row>
    <row r="15" customFormat="false" ht="43.5" hidden="false" customHeight="true" outlineLevel="0" collapsed="false">
      <c r="A15" s="92" t="str">
        <f aca="false">IF(C15="","","R-"&amp;TEXT(ROW()-4,"00"))</f>
        <v/>
      </c>
      <c r="B15" s="92"/>
      <c r="C15" s="18"/>
      <c r="D15" s="18"/>
      <c r="E15" s="17"/>
      <c r="F15" s="92"/>
      <c r="G15" s="92"/>
      <c r="H15" s="92"/>
      <c r="I15" s="92"/>
      <c r="J15" s="18"/>
      <c r="K15" s="88"/>
      <c r="L15" s="92"/>
      <c r="M15" s="92"/>
    </row>
    <row r="16" customFormat="false" ht="43.5" hidden="false" customHeight="true" outlineLevel="0" collapsed="false">
      <c r="A16" s="92" t="str">
        <f aca="false">IF(C16="","","R-"&amp;TEXT(ROW()-4,"00"))</f>
        <v/>
      </c>
      <c r="B16" s="92"/>
      <c r="C16" s="18"/>
      <c r="D16" s="17"/>
      <c r="E16" s="17"/>
      <c r="F16" s="92"/>
      <c r="G16" s="92"/>
      <c r="H16" s="92"/>
      <c r="I16" s="92"/>
      <c r="J16" s="18"/>
      <c r="K16" s="88"/>
      <c r="L16" s="92"/>
      <c r="M16" s="92"/>
    </row>
    <row r="17" customFormat="false" ht="57.75" hidden="false" customHeight="true" outlineLevel="0" collapsed="false">
      <c r="A17" s="92" t="str">
        <f aca="false">IF(C17="","","R-"&amp;TEXT(ROW()-4,"00"))</f>
        <v/>
      </c>
      <c r="B17" s="92"/>
      <c r="C17" s="17"/>
      <c r="D17" s="18"/>
      <c r="E17" s="17"/>
      <c r="F17" s="92"/>
      <c r="G17" s="92"/>
      <c r="H17" s="92"/>
      <c r="I17" s="92"/>
      <c r="J17" s="18"/>
      <c r="K17" s="92"/>
      <c r="L17" s="92"/>
      <c r="M17" s="92"/>
    </row>
    <row r="18" customFormat="false" ht="57.75" hidden="false" customHeight="true" outlineLevel="0" collapsed="false">
      <c r="A18" s="92" t="str">
        <f aca="false">IF(C18="","","R-"&amp;TEXT(ROW()-4,"00"))</f>
        <v/>
      </c>
      <c r="B18" s="92"/>
      <c r="C18" s="17"/>
      <c r="D18" s="17"/>
      <c r="E18" s="17"/>
      <c r="F18" s="92"/>
      <c r="G18" s="92"/>
      <c r="H18" s="92"/>
      <c r="I18" s="92"/>
      <c r="J18" s="18"/>
      <c r="K18" s="92"/>
      <c r="L18" s="92"/>
      <c r="M18" s="92"/>
    </row>
    <row r="19" customFormat="false" ht="43.5" hidden="false" customHeight="true" outlineLevel="0" collapsed="false">
      <c r="A19" s="92" t="str">
        <f aca="false">IF(C19="","","R-"&amp;TEXT(ROW()-4,"00"))</f>
        <v/>
      </c>
      <c r="B19" s="92"/>
      <c r="C19" s="18"/>
      <c r="D19" s="17"/>
      <c r="E19" s="17"/>
      <c r="F19" s="92"/>
      <c r="G19" s="92"/>
      <c r="H19" s="92"/>
      <c r="I19" s="92"/>
      <c r="J19" s="18"/>
      <c r="K19" s="92"/>
      <c r="L19" s="92"/>
      <c r="M19" s="92"/>
    </row>
    <row r="20" customFormat="false" ht="15" hidden="false" customHeight="true" outlineLevel="0" collapsed="false">
      <c r="A20" s="92" t="str">
        <f aca="false">IF(C20="","","R-"&amp;TEXT(ROW()-4,"00"))</f>
        <v/>
      </c>
      <c r="B20" s="92"/>
      <c r="C20" s="17"/>
      <c r="D20" s="17"/>
      <c r="E20" s="17"/>
      <c r="F20" s="92"/>
      <c r="G20" s="92"/>
      <c r="H20" s="92"/>
      <c r="I20" s="92"/>
      <c r="J20" s="17"/>
      <c r="K20" s="92"/>
      <c r="L20" s="92"/>
      <c r="M20" s="92"/>
    </row>
    <row r="21" customFormat="false" ht="15" hidden="false" customHeight="true" outlineLevel="0" collapsed="false">
      <c r="A21" s="92" t="str">
        <f aca="false">IF(C21="","","R-"&amp;TEXT(ROW()-4,"00"))</f>
        <v/>
      </c>
      <c r="B21" s="92"/>
      <c r="C21" s="17"/>
      <c r="D21" s="17"/>
      <c r="E21" s="17"/>
      <c r="F21" s="92"/>
      <c r="G21" s="92"/>
      <c r="H21" s="92"/>
      <c r="I21" s="92"/>
      <c r="J21" s="17"/>
      <c r="K21" s="92"/>
      <c r="L21" s="92"/>
      <c r="M21" s="92"/>
    </row>
    <row r="22" customFormat="false" ht="15" hidden="false" customHeight="true" outlineLevel="0" collapsed="false">
      <c r="A22" s="92" t="str">
        <f aca="false">IF(C22="","","R-"&amp;TEXT(ROW()-4,"00"))</f>
        <v/>
      </c>
      <c r="B22" s="92"/>
      <c r="C22" s="17"/>
      <c r="D22" s="17"/>
      <c r="E22" s="17"/>
      <c r="F22" s="92"/>
      <c r="G22" s="92"/>
      <c r="H22" s="92"/>
      <c r="I22" s="92"/>
      <c r="J22" s="17"/>
      <c r="K22" s="92"/>
      <c r="L22" s="92"/>
      <c r="M22" s="92"/>
    </row>
    <row r="23" customFormat="false" ht="15" hidden="false" customHeight="true" outlineLevel="0" collapsed="false">
      <c r="A23" s="92" t="str">
        <f aca="false">IF(C23="","","R-"&amp;TEXT(ROW()-4,"00"))</f>
        <v/>
      </c>
      <c r="B23" s="92"/>
      <c r="C23" s="17"/>
      <c r="D23" s="17"/>
      <c r="E23" s="17"/>
      <c r="F23" s="92"/>
      <c r="G23" s="92"/>
      <c r="H23" s="92"/>
      <c r="I23" s="92"/>
      <c r="J23" s="17"/>
      <c r="K23" s="92"/>
      <c r="L23" s="92"/>
      <c r="M23" s="92"/>
    </row>
    <row r="24" customFormat="false" ht="15" hidden="false" customHeight="true" outlineLevel="0" collapsed="false">
      <c r="A24" s="92" t="str">
        <f aca="false">IF(C24="","","R-"&amp;TEXT(ROW()-4,"00"))</f>
        <v/>
      </c>
      <c r="B24" s="92"/>
      <c r="C24" s="17"/>
      <c r="D24" s="17"/>
      <c r="E24" s="17"/>
      <c r="F24" s="92"/>
      <c r="G24" s="92"/>
      <c r="H24" s="92"/>
      <c r="I24" s="92"/>
      <c r="J24" s="17"/>
      <c r="K24" s="92"/>
      <c r="L24" s="92"/>
      <c r="M24" s="92"/>
    </row>
    <row r="25" customFormat="false" ht="15" hidden="false" customHeight="true" outlineLevel="0" collapsed="false">
      <c r="A25" s="92" t="str">
        <f aca="false">IF(C25="","","R-"&amp;TEXT(ROW()-4,"00"))</f>
        <v/>
      </c>
      <c r="B25" s="92"/>
      <c r="C25" s="17"/>
      <c r="D25" s="17"/>
      <c r="E25" s="17"/>
      <c r="F25" s="92"/>
      <c r="G25" s="92"/>
      <c r="H25" s="92"/>
      <c r="I25" s="92"/>
      <c r="J25" s="17"/>
      <c r="K25" s="92"/>
      <c r="L25" s="92"/>
      <c r="M25" s="92"/>
    </row>
    <row r="26" customFormat="false" ht="15" hidden="false" customHeight="true" outlineLevel="0" collapsed="false">
      <c r="A26" s="92" t="str">
        <f aca="false">IF(C26="","","R-"&amp;TEXT(ROW()-4,"00"))</f>
        <v/>
      </c>
      <c r="B26" s="92"/>
      <c r="C26" s="17"/>
      <c r="D26" s="17"/>
      <c r="E26" s="17"/>
      <c r="F26" s="92"/>
      <c r="G26" s="92"/>
      <c r="H26" s="92"/>
      <c r="I26" s="92"/>
      <c r="J26" s="17"/>
      <c r="K26" s="92"/>
      <c r="L26" s="92"/>
      <c r="M26" s="92"/>
    </row>
    <row r="27" customFormat="false" ht="15" hidden="false" customHeight="true" outlineLevel="0" collapsed="false">
      <c r="A27" s="92" t="str">
        <f aca="false">IF(C27="","","R-"&amp;TEXT(ROW()-4,"00"))</f>
        <v/>
      </c>
      <c r="B27" s="92"/>
      <c r="C27" s="17"/>
      <c r="D27" s="17"/>
      <c r="E27" s="17"/>
      <c r="F27" s="92"/>
      <c r="G27" s="92"/>
      <c r="H27" s="92"/>
      <c r="I27" s="92"/>
      <c r="J27" s="17"/>
      <c r="K27" s="92"/>
      <c r="L27" s="92"/>
      <c r="M27" s="92"/>
    </row>
    <row r="28" customFormat="false" ht="15" hidden="false" customHeight="true" outlineLevel="0" collapsed="false">
      <c r="A28" s="92" t="str">
        <f aca="false">IF(C28="","","R-"&amp;TEXT(ROW()-4,"00"))</f>
        <v/>
      </c>
      <c r="B28" s="92"/>
      <c r="C28" s="17"/>
      <c r="D28" s="17"/>
      <c r="E28" s="17"/>
      <c r="F28" s="92"/>
      <c r="G28" s="92"/>
      <c r="H28" s="92"/>
      <c r="I28" s="92"/>
      <c r="J28" s="17"/>
      <c r="K28" s="92"/>
      <c r="L28" s="92"/>
      <c r="M28" s="92"/>
    </row>
    <row r="29" customFormat="false" ht="15" hidden="false" customHeight="true" outlineLevel="0" collapsed="false">
      <c r="A29" s="92" t="str">
        <f aca="false">IF(C29="","","R-"&amp;TEXT(ROW()-4,"00"))</f>
        <v/>
      </c>
      <c r="B29" s="92"/>
      <c r="C29" s="17"/>
      <c r="D29" s="17"/>
      <c r="E29" s="17"/>
      <c r="F29" s="92"/>
      <c r="G29" s="92"/>
      <c r="H29" s="92"/>
      <c r="I29" s="92"/>
      <c r="J29" s="17"/>
      <c r="K29" s="92"/>
      <c r="L29" s="92"/>
      <c r="M29" s="92"/>
    </row>
    <row r="30" customFormat="false" ht="15" hidden="false" customHeight="true" outlineLevel="0" collapsed="false">
      <c r="A30" s="92" t="str">
        <f aca="false">IF(C30="","","R-"&amp;TEXT(ROW()-4,"00"))</f>
        <v/>
      </c>
      <c r="B30" s="92"/>
      <c r="C30" s="17"/>
      <c r="D30" s="17"/>
      <c r="E30" s="17"/>
      <c r="F30" s="92"/>
      <c r="G30" s="92"/>
      <c r="H30" s="92"/>
      <c r="I30" s="92"/>
      <c r="J30" s="17"/>
      <c r="K30" s="92"/>
      <c r="L30" s="92"/>
      <c r="M30" s="92"/>
    </row>
    <row r="31" customFormat="false" ht="15" hidden="false" customHeight="true" outlineLevel="0" collapsed="false">
      <c r="A31" s="92" t="str">
        <f aca="false">IF(C31="","","R-"&amp;TEXT(ROW()-4,"00"))</f>
        <v/>
      </c>
      <c r="B31" s="92"/>
      <c r="C31" s="17"/>
      <c r="D31" s="17"/>
      <c r="E31" s="17"/>
      <c r="F31" s="92"/>
      <c r="G31" s="92"/>
      <c r="H31" s="92"/>
      <c r="I31" s="92"/>
      <c r="J31" s="17"/>
      <c r="K31" s="92"/>
      <c r="L31" s="92"/>
      <c r="M31" s="92"/>
    </row>
    <row r="32" customFormat="false" ht="15" hidden="false" customHeight="true" outlineLevel="0" collapsed="false">
      <c r="A32" s="92" t="str">
        <f aca="false">IF(C32="","","R-"&amp;TEXT(ROW()-4,"00"))</f>
        <v/>
      </c>
      <c r="B32" s="92"/>
      <c r="C32" s="17"/>
      <c r="D32" s="17"/>
      <c r="E32" s="17"/>
      <c r="F32" s="92"/>
      <c r="G32" s="92"/>
      <c r="H32" s="92"/>
      <c r="I32" s="92"/>
      <c r="J32" s="17"/>
      <c r="K32" s="92"/>
      <c r="L32" s="92"/>
      <c r="M32" s="92"/>
    </row>
    <row r="33" customFormat="false" ht="15" hidden="false" customHeight="true" outlineLevel="0" collapsed="false">
      <c r="A33" s="92" t="str">
        <f aca="false">IF(C33="","","R-"&amp;TEXT(ROW()-4,"00"))</f>
        <v/>
      </c>
      <c r="B33" s="92"/>
      <c r="C33" s="17"/>
      <c r="D33" s="17"/>
      <c r="E33" s="17"/>
      <c r="F33" s="92"/>
      <c r="G33" s="92"/>
      <c r="H33" s="92"/>
      <c r="I33" s="92"/>
      <c r="J33" s="17"/>
      <c r="K33" s="92"/>
      <c r="L33" s="92"/>
      <c r="M33" s="92"/>
    </row>
    <row r="34" customFormat="false" ht="15" hidden="false" customHeight="true" outlineLevel="0" collapsed="false">
      <c r="A34" s="92" t="str">
        <f aca="false">IF(C34="","","R-"&amp;TEXT(ROW()-4,"00"))</f>
        <v/>
      </c>
      <c r="B34" s="92"/>
      <c r="C34" s="17"/>
      <c r="D34" s="17"/>
      <c r="E34" s="17"/>
      <c r="F34" s="92"/>
      <c r="G34" s="92"/>
      <c r="H34" s="92"/>
      <c r="I34" s="92"/>
      <c r="J34" s="17"/>
      <c r="K34" s="92"/>
      <c r="L34" s="92"/>
      <c r="M34" s="92"/>
    </row>
    <row r="35" customFormat="false" ht="15" hidden="false" customHeight="true" outlineLevel="0" collapsed="false">
      <c r="A35" s="92" t="str">
        <f aca="false">IF(C35="","","R-"&amp;TEXT(ROW()-4,"00"))</f>
        <v/>
      </c>
      <c r="B35" s="92"/>
      <c r="C35" s="17"/>
      <c r="D35" s="17"/>
      <c r="E35" s="17"/>
      <c r="F35" s="92"/>
      <c r="G35" s="92"/>
      <c r="H35" s="92"/>
      <c r="I35" s="92"/>
      <c r="J35" s="17"/>
      <c r="K35" s="92"/>
      <c r="L35" s="92"/>
      <c r="M35" s="92"/>
    </row>
    <row r="36" customFormat="false" ht="15" hidden="false" customHeight="true" outlineLevel="0" collapsed="false">
      <c r="A36" s="92" t="str">
        <f aca="false">IF(C36="","","R-"&amp;TEXT(ROW()-4,"00"))</f>
        <v/>
      </c>
      <c r="B36" s="92"/>
      <c r="C36" s="17"/>
      <c r="D36" s="17"/>
      <c r="E36" s="17"/>
      <c r="F36" s="92"/>
      <c r="G36" s="92"/>
      <c r="H36" s="92"/>
      <c r="I36" s="92"/>
      <c r="J36" s="17"/>
      <c r="K36" s="92"/>
      <c r="L36" s="92"/>
      <c r="M36" s="92"/>
    </row>
    <row r="37" customFormat="false" ht="15" hidden="false" customHeight="true" outlineLevel="0" collapsed="false">
      <c r="A37" s="92" t="str">
        <f aca="false">IF(C37="","","R-"&amp;TEXT(ROW()-4,"00"))</f>
        <v/>
      </c>
      <c r="B37" s="92"/>
      <c r="C37" s="17"/>
      <c r="D37" s="17"/>
      <c r="E37" s="17"/>
      <c r="F37" s="92"/>
      <c r="G37" s="92"/>
      <c r="H37" s="92"/>
      <c r="I37" s="92"/>
      <c r="J37" s="17"/>
      <c r="K37" s="92"/>
      <c r="L37" s="92"/>
      <c r="M37" s="92"/>
    </row>
    <row r="38" customFormat="false" ht="15" hidden="false" customHeight="true" outlineLevel="0" collapsed="false">
      <c r="A38" s="92" t="str">
        <f aca="false">IF(C38="","","R-"&amp;TEXT(ROW()-4,"00"))</f>
        <v/>
      </c>
      <c r="B38" s="92"/>
      <c r="C38" s="17"/>
      <c r="D38" s="17"/>
      <c r="E38" s="17"/>
      <c r="F38" s="92"/>
      <c r="G38" s="92"/>
      <c r="H38" s="92"/>
      <c r="I38" s="92"/>
      <c r="J38" s="17"/>
      <c r="K38" s="92"/>
      <c r="L38" s="92"/>
      <c r="M38" s="92"/>
    </row>
    <row r="39" customFormat="false" ht="15" hidden="false" customHeight="true" outlineLevel="0" collapsed="false">
      <c r="A39" s="92" t="str">
        <f aca="false">IF(C39="","","R-"&amp;TEXT(ROW()-4,"00"))</f>
        <v/>
      </c>
      <c r="B39" s="92"/>
      <c r="C39" s="17"/>
      <c r="D39" s="17"/>
      <c r="E39" s="17"/>
      <c r="F39" s="92"/>
      <c r="G39" s="92"/>
      <c r="H39" s="92"/>
      <c r="I39" s="92"/>
      <c r="J39" s="17"/>
      <c r="K39" s="92"/>
      <c r="L39" s="92"/>
      <c r="M39" s="92"/>
    </row>
    <row r="40" customFormat="false" ht="15" hidden="false" customHeight="true" outlineLevel="0" collapsed="false">
      <c r="A40" s="92" t="str">
        <f aca="false">IF(C40="","","R-"&amp;TEXT(ROW()-4,"00"))</f>
        <v/>
      </c>
      <c r="B40" s="92"/>
      <c r="C40" s="17"/>
      <c r="D40" s="17"/>
      <c r="E40" s="17"/>
      <c r="F40" s="92"/>
      <c r="G40" s="92"/>
      <c r="H40" s="92"/>
      <c r="I40" s="92"/>
      <c r="J40" s="17"/>
      <c r="K40" s="92"/>
      <c r="L40" s="92"/>
      <c r="M40" s="92"/>
    </row>
    <row r="41" customFormat="false" ht="15" hidden="false" customHeight="true" outlineLevel="0" collapsed="false">
      <c r="A41" s="92" t="str">
        <f aca="false">IF(C41="","","R-"&amp;TEXT(ROW()-4,"00"))</f>
        <v/>
      </c>
      <c r="B41" s="92"/>
      <c r="C41" s="17"/>
      <c r="D41" s="17"/>
      <c r="E41" s="17"/>
      <c r="F41" s="92"/>
      <c r="G41" s="92"/>
      <c r="H41" s="92"/>
      <c r="I41" s="92"/>
      <c r="J41" s="17"/>
      <c r="K41" s="92"/>
      <c r="L41" s="92"/>
      <c r="M41" s="92"/>
    </row>
    <row r="42" customFormat="false" ht="15" hidden="false" customHeight="true" outlineLevel="0" collapsed="false">
      <c r="A42" s="92" t="str">
        <f aca="false">IF(C42="","","R-"&amp;TEXT(ROW()-4,"00"))</f>
        <v/>
      </c>
      <c r="B42" s="92"/>
      <c r="C42" s="17"/>
      <c r="D42" s="17"/>
      <c r="E42" s="17"/>
      <c r="F42" s="92"/>
      <c r="G42" s="92"/>
      <c r="H42" s="92"/>
      <c r="I42" s="92"/>
      <c r="J42" s="17"/>
      <c r="K42" s="92"/>
      <c r="L42" s="92"/>
      <c r="M42" s="92"/>
    </row>
    <row r="43" customFormat="false" ht="15" hidden="false" customHeight="true" outlineLevel="0" collapsed="false">
      <c r="A43" s="92" t="str">
        <f aca="false">IF(C43="","","R-"&amp;TEXT(ROW()-4,"00"))</f>
        <v/>
      </c>
      <c r="B43" s="92"/>
      <c r="C43" s="17"/>
      <c r="D43" s="17"/>
      <c r="E43" s="17"/>
      <c r="F43" s="92"/>
      <c r="G43" s="92"/>
      <c r="H43" s="92"/>
      <c r="I43" s="92"/>
      <c r="J43" s="17"/>
      <c r="K43" s="92"/>
      <c r="L43" s="92"/>
      <c r="M43" s="92"/>
    </row>
    <row r="44" customFormat="false" ht="15" hidden="false" customHeight="true" outlineLevel="0" collapsed="false">
      <c r="A44" s="92" t="str">
        <f aca="false">IF(C44="","","R-"&amp;TEXT(ROW()-4,"00"))</f>
        <v/>
      </c>
      <c r="B44" s="92"/>
      <c r="C44" s="17"/>
      <c r="D44" s="17"/>
      <c r="E44" s="17"/>
      <c r="F44" s="92"/>
      <c r="G44" s="92"/>
      <c r="H44" s="92"/>
      <c r="I44" s="92"/>
      <c r="J44" s="17"/>
      <c r="K44" s="92"/>
      <c r="L44" s="92"/>
      <c r="M44" s="92"/>
    </row>
    <row r="45" customFormat="false" ht="15" hidden="false" customHeight="true" outlineLevel="0" collapsed="false">
      <c r="A45" s="92" t="str">
        <f aca="false">IF(C45="","","R-"&amp;TEXT(ROW()-4,"00"))</f>
        <v/>
      </c>
      <c r="B45" s="92"/>
      <c r="C45" s="17"/>
      <c r="D45" s="17"/>
      <c r="E45" s="17"/>
      <c r="F45" s="92"/>
      <c r="G45" s="92"/>
      <c r="H45" s="92"/>
      <c r="I45" s="92"/>
      <c r="J45" s="17"/>
      <c r="K45" s="92"/>
      <c r="L45" s="92"/>
      <c r="M45" s="92"/>
    </row>
    <row r="46" customFormat="false" ht="15" hidden="false" customHeight="true" outlineLevel="0" collapsed="false">
      <c r="A46" s="92" t="str">
        <f aca="false">IF(C46="","","R-"&amp;TEXT(ROW()-4,"00"))</f>
        <v/>
      </c>
      <c r="B46" s="92"/>
      <c r="C46" s="17"/>
      <c r="D46" s="17"/>
      <c r="E46" s="17"/>
      <c r="F46" s="92"/>
      <c r="G46" s="92"/>
      <c r="H46" s="92"/>
      <c r="I46" s="92"/>
      <c r="J46" s="17"/>
      <c r="K46" s="92"/>
      <c r="L46" s="92"/>
      <c r="M46" s="92"/>
    </row>
    <row r="47" customFormat="false" ht="15" hidden="false" customHeight="true" outlineLevel="0" collapsed="false">
      <c r="A47" s="92" t="str">
        <f aca="false">IF(C47="","","R-"&amp;TEXT(ROW()-4,"00"))</f>
        <v/>
      </c>
      <c r="B47" s="92"/>
      <c r="C47" s="17"/>
      <c r="D47" s="17"/>
      <c r="E47" s="17"/>
      <c r="F47" s="92"/>
      <c r="G47" s="92"/>
      <c r="H47" s="92"/>
      <c r="I47" s="92"/>
      <c r="J47" s="17"/>
      <c r="K47" s="92"/>
      <c r="L47" s="92"/>
      <c r="M47" s="92"/>
    </row>
    <row r="48" customFormat="false" ht="15" hidden="false" customHeight="true" outlineLevel="0" collapsed="false">
      <c r="A48" s="92" t="str">
        <f aca="false">IF(C48="","","R-"&amp;TEXT(ROW()-4,"00"))</f>
        <v/>
      </c>
      <c r="B48" s="92"/>
      <c r="C48" s="17"/>
      <c r="D48" s="17"/>
      <c r="E48" s="17"/>
      <c r="F48" s="92"/>
      <c r="G48" s="92"/>
      <c r="H48" s="92"/>
      <c r="I48" s="92"/>
      <c r="J48" s="17"/>
      <c r="K48" s="92"/>
      <c r="L48" s="92"/>
      <c r="M48" s="92"/>
    </row>
    <row r="49" customFormat="false" ht="15" hidden="false" customHeight="true" outlineLevel="0" collapsed="false">
      <c r="A49" s="92" t="str">
        <f aca="false">IF(C49="","","R-"&amp;TEXT(ROW()-4,"00"))</f>
        <v/>
      </c>
      <c r="B49" s="92"/>
      <c r="C49" s="17"/>
      <c r="D49" s="17"/>
      <c r="E49" s="17"/>
      <c r="F49" s="92"/>
      <c r="G49" s="92"/>
      <c r="H49" s="92"/>
      <c r="I49" s="92"/>
      <c r="J49" s="17"/>
      <c r="K49" s="92"/>
      <c r="L49" s="92"/>
      <c r="M49" s="92"/>
    </row>
    <row r="50" customFormat="false" ht="15" hidden="false" customHeight="true" outlineLevel="0" collapsed="false">
      <c r="A50" s="92" t="str">
        <f aca="false">IF(C50="","","R-"&amp;TEXT(ROW()-4,"00"))</f>
        <v/>
      </c>
      <c r="B50" s="92"/>
      <c r="C50" s="17"/>
      <c r="D50" s="17"/>
      <c r="E50" s="17"/>
      <c r="F50" s="92"/>
      <c r="G50" s="92"/>
      <c r="H50" s="92"/>
      <c r="I50" s="92"/>
      <c r="J50" s="17"/>
      <c r="K50" s="92"/>
      <c r="L50" s="92"/>
      <c r="M50" s="92"/>
    </row>
    <row r="51" customFormat="false" ht="15" hidden="false" customHeight="true" outlineLevel="0" collapsed="false">
      <c r="A51" s="92" t="str">
        <f aca="false">IF(C51="","","R-"&amp;TEXT(ROW()-4,"00"))</f>
        <v/>
      </c>
      <c r="B51" s="92"/>
      <c r="C51" s="17"/>
      <c r="D51" s="17"/>
      <c r="E51" s="17"/>
      <c r="F51" s="92"/>
      <c r="G51" s="92"/>
      <c r="H51" s="92"/>
      <c r="I51" s="92"/>
      <c r="J51" s="17"/>
      <c r="K51" s="92"/>
      <c r="L51" s="92"/>
      <c r="M51" s="92"/>
    </row>
    <row r="52" customFormat="false" ht="15" hidden="false" customHeight="true" outlineLevel="0" collapsed="false">
      <c r="A52" s="92" t="str">
        <f aca="false">IF(C52="","","R-"&amp;TEXT(ROW()-4,"00"))</f>
        <v/>
      </c>
      <c r="B52" s="92"/>
      <c r="C52" s="17"/>
      <c r="D52" s="17"/>
      <c r="E52" s="17"/>
      <c r="F52" s="92"/>
      <c r="G52" s="92"/>
      <c r="H52" s="92"/>
      <c r="I52" s="92"/>
      <c r="J52" s="17"/>
      <c r="K52" s="92"/>
      <c r="L52" s="92"/>
      <c r="M52" s="92"/>
    </row>
    <row r="53" customFormat="false" ht="15" hidden="false" customHeight="true" outlineLevel="0" collapsed="false">
      <c r="A53" s="92" t="str">
        <f aca="false">IF(C53="","","R-"&amp;TEXT(ROW()-4,"00"))</f>
        <v/>
      </c>
      <c r="B53" s="92"/>
      <c r="C53" s="17"/>
      <c r="D53" s="17"/>
      <c r="E53" s="17"/>
      <c r="F53" s="92"/>
      <c r="G53" s="92"/>
      <c r="H53" s="92"/>
      <c r="I53" s="92"/>
      <c r="J53" s="17"/>
      <c r="K53" s="92"/>
      <c r="L53" s="92"/>
      <c r="M53" s="92"/>
    </row>
    <row r="54" customFormat="false" ht="15" hidden="false" customHeight="true" outlineLevel="0" collapsed="false">
      <c r="A54" s="92" t="str">
        <f aca="false">IF(C54="","","R-"&amp;TEXT(ROW()-4,"00"))</f>
        <v/>
      </c>
      <c r="B54" s="92"/>
      <c r="C54" s="17"/>
      <c r="D54" s="17"/>
      <c r="E54" s="17"/>
      <c r="F54" s="92"/>
      <c r="G54" s="92"/>
      <c r="H54" s="92"/>
      <c r="I54" s="92"/>
      <c r="J54" s="17"/>
      <c r="K54" s="92"/>
      <c r="L54" s="92"/>
      <c r="M54" s="92"/>
    </row>
  </sheetData>
  <autoFilter ref="A4:M54"/>
  <dataValidations count="4">
    <dataValidation allowBlank="true" errorStyle="stop" operator="between" showDropDown="false" showErrorMessage="false" showInputMessage="false" sqref="F5:G54" type="list">
      <formula1>"상,중,하"</formula1>
      <formula2>0</formula2>
    </dataValidation>
    <dataValidation allowBlank="true" errorStyle="stop" operator="between" showDropDown="false" showErrorMessage="false" showInputMessage="false" sqref="I5:I54" type="list">
      <formula1>"회피,완화,전가,수용"</formula1>
      <formula2>0</formula2>
    </dataValidation>
    <dataValidation allowBlank="true" errorStyle="stop" operator="between" showDropDown="false" showErrorMessage="false" showInputMessage="false" sqref="M5:M54" type="list">
      <formula1>"식별,대응중,해소,수용"</formula1>
      <formula2>0</formula2>
    </dataValidation>
    <dataValidation allowBlank="true" errorStyle="stop" operator="between" showDropDown="false" showErrorMessage="false" showInputMessage="false" sqref="B5:B54" type="list">
      <formula1>"경쟁,계약,기술,기타,문서,범위,수익성,운영,일정,조달,지식재산"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B10" activeCellId="0" sqref="B10"/>
    </sheetView>
  </sheetViews>
  <sheetFormatPr defaultColWidth="8.5703125" defaultRowHeight="15" zeroHeight="false" outlineLevelRow="0" outlineLevelCol="0"/>
  <cols>
    <col collapsed="false" customWidth="true" hidden="false" outlineLevel="0" max="1" min="1" style="55" width="9"/>
    <col collapsed="false" customWidth="true" hidden="false" outlineLevel="0" max="2" min="2" style="55" width="12"/>
    <col collapsed="false" customWidth="true" hidden="false" outlineLevel="0" max="3" min="3" style="55" width="56.42"/>
    <col collapsed="false" customWidth="true" hidden="false" outlineLevel="0" max="4" min="4" style="55" width="41.71"/>
    <col collapsed="false" customWidth="true" hidden="false" outlineLevel="0" max="5" min="5" style="55" width="46.15"/>
    <col collapsed="false" customWidth="true" hidden="false" outlineLevel="0" max="6" min="6" style="55" width="14"/>
    <col collapsed="false" customWidth="true" hidden="false" outlineLevel="0" max="7" min="7" style="55" width="9"/>
    <col collapsed="false" customWidth="true" hidden="false" outlineLevel="0" max="8" min="8" style="55" width="10"/>
    <col collapsed="false" customWidth="true" hidden="false" outlineLevel="0" max="9" min="9" style="55" width="12"/>
    <col collapsed="false" customWidth="true" hidden="false" outlineLevel="0" max="10" min="10" style="55" width="34"/>
    <col collapsed="false" customWidth="true" hidden="false" outlineLevel="0" max="11" min="11" style="55" width="15.57"/>
  </cols>
  <sheetData>
    <row r="1" customFormat="false" ht="21" hidden="false" customHeight="true" outlineLevel="0" collapsed="false">
      <c r="A1" s="69" t="s">
        <v>569</v>
      </c>
    </row>
    <row r="2" customFormat="false" ht="15" hidden="false" customHeight="true" outlineLevel="0" collapsed="false">
      <c r="A2" s="71" t="s">
        <v>570</v>
      </c>
    </row>
    <row r="4" customFormat="false" ht="26.25" hidden="false" customHeight="true" outlineLevel="0" collapsed="false">
      <c r="A4" s="61" t="s">
        <v>571</v>
      </c>
      <c r="B4" s="61" t="s">
        <v>105</v>
      </c>
      <c r="C4" s="61" t="s">
        <v>572</v>
      </c>
      <c r="D4" s="61" t="s">
        <v>573</v>
      </c>
      <c r="E4" s="61" t="s">
        <v>574</v>
      </c>
      <c r="F4" s="61" t="s">
        <v>575</v>
      </c>
      <c r="G4" s="61" t="s">
        <v>576</v>
      </c>
      <c r="H4" s="61" t="s">
        <v>568</v>
      </c>
      <c r="I4" s="61" t="s">
        <v>577</v>
      </c>
      <c r="J4" s="61" t="s">
        <v>578</v>
      </c>
      <c r="K4" s="61" t="s">
        <v>566</v>
      </c>
    </row>
    <row r="5" customFormat="false" ht="28.5" hidden="false" customHeight="true" outlineLevel="0" collapsed="false">
      <c r="A5" s="92"/>
      <c r="B5" s="92"/>
      <c r="C5" s="17"/>
      <c r="D5" s="17"/>
      <c r="E5" s="18"/>
      <c r="F5" s="92"/>
      <c r="G5" s="92"/>
      <c r="H5" s="92"/>
      <c r="I5" s="92"/>
      <c r="J5" s="17"/>
      <c r="K5" s="92"/>
    </row>
    <row r="6" customFormat="false" ht="28.5" hidden="false" customHeight="true" outlineLevel="0" collapsed="false">
      <c r="A6" s="92"/>
      <c r="B6" s="92"/>
      <c r="C6" s="17"/>
      <c r="D6" s="17"/>
      <c r="E6" s="18"/>
      <c r="F6" s="92"/>
      <c r="G6" s="92"/>
      <c r="H6" s="92"/>
      <c r="I6" s="92"/>
      <c r="J6" s="17"/>
      <c r="K6" s="88"/>
    </row>
    <row r="7" customFormat="false" ht="28.5" hidden="false" customHeight="true" outlineLevel="0" collapsed="false">
      <c r="A7" s="92" t="str">
        <f aca="false">IF(C7="","","Q-"&amp;TEXT(ROW()-4,"00"))</f>
        <v/>
      </c>
      <c r="B7" s="92"/>
      <c r="C7" s="18"/>
      <c r="D7" s="17"/>
      <c r="E7" s="18"/>
      <c r="F7" s="92"/>
      <c r="G7" s="92"/>
      <c r="H7" s="92"/>
      <c r="I7" s="92"/>
      <c r="J7" s="17"/>
      <c r="K7" s="92"/>
    </row>
    <row r="8" customFormat="false" ht="28.5" hidden="false" customHeight="true" outlineLevel="0" collapsed="false">
      <c r="A8" s="92" t="str">
        <f aca="false">IF(C8="","","Q-"&amp;TEXT(ROW()-4,"00"))</f>
        <v/>
      </c>
      <c r="B8" s="92"/>
      <c r="C8" s="18"/>
      <c r="D8" s="17"/>
      <c r="E8" s="18"/>
      <c r="F8" s="92"/>
      <c r="G8" s="92"/>
      <c r="H8" s="92"/>
      <c r="I8" s="92"/>
      <c r="J8" s="17"/>
      <c r="K8" s="88"/>
    </row>
    <row r="9" customFormat="false" ht="40.5" hidden="false" customHeight="true" outlineLevel="0" collapsed="false">
      <c r="A9" s="92" t="str">
        <f aca="false">IF(C9="","","Q-"&amp;TEXT(ROW()-4,"00"))</f>
        <v/>
      </c>
      <c r="B9" s="92"/>
      <c r="C9" s="17"/>
      <c r="D9" s="17"/>
      <c r="E9" s="18"/>
      <c r="F9" s="92"/>
      <c r="G9" s="92"/>
      <c r="H9" s="92"/>
      <c r="I9" s="92"/>
      <c r="J9" s="17"/>
      <c r="K9" s="88"/>
    </row>
    <row r="10" customFormat="false" ht="40.5" hidden="false" customHeight="true" outlineLevel="0" collapsed="false">
      <c r="A10" s="92" t="str">
        <f aca="false">IF(C10="","","Q-"&amp;TEXT(ROW()-4,"00"))</f>
        <v/>
      </c>
      <c r="B10" s="92"/>
      <c r="C10" s="17"/>
      <c r="D10" s="17"/>
      <c r="E10" s="18"/>
      <c r="F10" s="92"/>
      <c r="G10" s="92"/>
      <c r="H10" s="92"/>
      <c r="I10" s="92"/>
      <c r="J10" s="17"/>
      <c r="K10" s="92"/>
    </row>
    <row r="11" customFormat="false" ht="28.5" hidden="false" customHeight="true" outlineLevel="0" collapsed="false">
      <c r="A11" s="92" t="str">
        <f aca="false">IF(C11="","","Q-"&amp;TEXT(ROW()-4,"00"))</f>
        <v/>
      </c>
      <c r="B11" s="92"/>
      <c r="C11" s="18"/>
      <c r="D11" s="17"/>
      <c r="E11" s="18"/>
      <c r="F11" s="92"/>
      <c r="G11" s="92"/>
      <c r="H11" s="92"/>
      <c r="I11" s="92"/>
      <c r="J11" s="17"/>
      <c r="K11" s="92"/>
    </row>
    <row r="12" customFormat="false" ht="28.5" hidden="false" customHeight="true" outlineLevel="0" collapsed="false">
      <c r="A12" s="92" t="str">
        <f aca="false">IF(C12="","","Q-"&amp;TEXT(ROW()-4,"00"))</f>
        <v/>
      </c>
      <c r="B12" s="92"/>
      <c r="C12" s="18"/>
      <c r="D12" s="17"/>
      <c r="E12" s="18"/>
      <c r="F12" s="92"/>
      <c r="G12" s="92"/>
      <c r="H12" s="92"/>
      <c r="I12" s="92"/>
      <c r="J12" s="17"/>
      <c r="K12" s="92"/>
    </row>
    <row r="13" customFormat="false" ht="25.5" hidden="false" customHeight="true" outlineLevel="0" collapsed="false">
      <c r="A13" s="92" t="str">
        <f aca="false">IF(C13="","","Q-"&amp;TEXT(ROW()-4,"00"))</f>
        <v/>
      </c>
      <c r="B13" s="92"/>
      <c r="C13" s="17"/>
      <c r="D13" s="17"/>
      <c r="E13" s="17"/>
      <c r="F13" s="92"/>
      <c r="G13" s="92"/>
      <c r="H13" s="92"/>
      <c r="I13" s="92"/>
      <c r="J13" s="17"/>
      <c r="K13" s="88"/>
    </row>
    <row r="14" customFormat="false" ht="28.5" hidden="false" customHeight="true" outlineLevel="0" collapsed="false">
      <c r="A14" s="92" t="str">
        <f aca="false">IF(C14="","","Q-"&amp;TEXT(ROW()-4,"00"))</f>
        <v/>
      </c>
      <c r="B14" s="92"/>
      <c r="C14" s="18"/>
      <c r="D14" s="17"/>
      <c r="E14" s="18"/>
      <c r="F14" s="92"/>
      <c r="G14" s="92"/>
      <c r="H14" s="92"/>
      <c r="I14" s="92"/>
      <c r="J14" s="17"/>
      <c r="K14" s="88"/>
    </row>
    <row r="15" customFormat="false" ht="15" hidden="false" customHeight="true" outlineLevel="0" collapsed="false">
      <c r="A15" s="92" t="str">
        <f aca="false">IF(C15="","","Q-"&amp;TEXT(ROW()-4,"00"))</f>
        <v/>
      </c>
      <c r="B15" s="92"/>
      <c r="C15" s="17"/>
      <c r="D15" s="17"/>
      <c r="E15" s="18"/>
      <c r="F15" s="92"/>
      <c r="G15" s="92"/>
      <c r="H15" s="92"/>
      <c r="I15" s="92"/>
      <c r="J15" s="17"/>
      <c r="K15" s="88"/>
    </row>
    <row r="16" customFormat="false" ht="28.5" hidden="false" customHeight="true" outlineLevel="0" collapsed="false">
      <c r="A16" s="92" t="str">
        <f aca="false">IF(C16="","","Q-"&amp;TEXT(ROW()-4,"00"))</f>
        <v/>
      </c>
      <c r="B16" s="92"/>
      <c r="C16" s="17"/>
      <c r="D16" s="17"/>
      <c r="E16" s="18"/>
      <c r="F16" s="92"/>
      <c r="G16" s="92"/>
      <c r="H16" s="92"/>
      <c r="I16" s="92"/>
      <c r="J16" s="17"/>
      <c r="K16" s="88"/>
    </row>
    <row r="17" customFormat="false" ht="28.5" hidden="false" customHeight="true" outlineLevel="0" collapsed="false">
      <c r="A17" s="92" t="str">
        <f aca="false">IF(C17="","","Q-"&amp;TEXT(ROW()-4,"00"))</f>
        <v/>
      </c>
      <c r="B17" s="92"/>
      <c r="C17" s="17"/>
      <c r="D17" s="17"/>
      <c r="E17" s="18"/>
      <c r="F17" s="92"/>
      <c r="G17" s="92"/>
      <c r="H17" s="92"/>
      <c r="I17" s="92"/>
      <c r="J17" s="17"/>
      <c r="K17" s="88"/>
    </row>
    <row r="18" customFormat="false" ht="28.5" hidden="false" customHeight="true" outlineLevel="0" collapsed="false">
      <c r="A18" s="92" t="str">
        <f aca="false">IF(C18="","","Q-"&amp;TEXT(ROW()-4,"00"))</f>
        <v/>
      </c>
      <c r="B18" s="92"/>
      <c r="C18" s="18"/>
      <c r="D18" s="17"/>
      <c r="E18" s="17"/>
      <c r="F18" s="92"/>
      <c r="G18" s="92"/>
      <c r="H18" s="92"/>
      <c r="I18" s="92"/>
      <c r="J18" s="17"/>
      <c r="K18" s="88"/>
    </row>
    <row r="19" customFormat="false" ht="28.5" hidden="false" customHeight="true" outlineLevel="0" collapsed="false">
      <c r="A19" s="92" t="str">
        <f aca="false">IF(C19="","","Q-"&amp;TEXT(ROW()-4,"00"))</f>
        <v/>
      </c>
      <c r="B19" s="92"/>
      <c r="C19" s="18"/>
      <c r="D19" s="18"/>
      <c r="E19" s="18"/>
      <c r="F19" s="92"/>
      <c r="G19" s="92"/>
      <c r="H19" s="92"/>
      <c r="I19" s="92"/>
      <c r="J19" s="17"/>
      <c r="K19" s="88"/>
    </row>
    <row r="20" customFormat="false" ht="15" hidden="false" customHeight="true" outlineLevel="0" collapsed="false">
      <c r="A20" s="92" t="str">
        <f aca="false">IF(C20="","","Q-"&amp;TEXT(ROW()-4,"00"))</f>
        <v/>
      </c>
      <c r="B20" s="92"/>
      <c r="C20" s="17"/>
      <c r="D20" s="17"/>
      <c r="E20" s="17"/>
      <c r="F20" s="92"/>
      <c r="G20" s="92"/>
      <c r="H20" s="92"/>
      <c r="I20" s="92"/>
      <c r="J20" s="17"/>
      <c r="K20" s="92"/>
    </row>
    <row r="21" customFormat="false" ht="15" hidden="false" customHeight="true" outlineLevel="0" collapsed="false">
      <c r="A21" s="92" t="str">
        <f aca="false">IF(C21="","","Q-"&amp;TEXT(ROW()-4,"00"))</f>
        <v/>
      </c>
      <c r="B21" s="92"/>
      <c r="C21" s="17"/>
      <c r="D21" s="17"/>
      <c r="E21" s="17"/>
      <c r="F21" s="92"/>
      <c r="G21" s="92"/>
      <c r="H21" s="92"/>
      <c r="I21" s="92"/>
      <c r="J21" s="17"/>
      <c r="K21" s="92"/>
    </row>
    <row r="22" customFormat="false" ht="15" hidden="false" customHeight="true" outlineLevel="0" collapsed="false">
      <c r="A22" s="92" t="str">
        <f aca="false">IF(C22="","","Q-"&amp;TEXT(ROW()-4,"00"))</f>
        <v/>
      </c>
      <c r="B22" s="92"/>
      <c r="C22" s="17"/>
      <c r="D22" s="17"/>
      <c r="E22" s="17"/>
      <c r="F22" s="92"/>
      <c r="G22" s="92"/>
      <c r="H22" s="92"/>
      <c r="I22" s="92"/>
      <c r="J22" s="17"/>
      <c r="K22" s="92"/>
    </row>
    <row r="23" customFormat="false" ht="15" hidden="false" customHeight="true" outlineLevel="0" collapsed="false">
      <c r="A23" s="92" t="str">
        <f aca="false">IF(C23="","","Q-"&amp;TEXT(ROW()-4,"00"))</f>
        <v/>
      </c>
      <c r="B23" s="92"/>
      <c r="C23" s="17"/>
      <c r="D23" s="17"/>
      <c r="E23" s="17"/>
      <c r="F23" s="92"/>
      <c r="G23" s="92"/>
      <c r="H23" s="92"/>
      <c r="I23" s="92"/>
      <c r="J23" s="17"/>
      <c r="K23" s="92"/>
    </row>
    <row r="24" customFormat="false" ht="15" hidden="false" customHeight="true" outlineLevel="0" collapsed="false">
      <c r="A24" s="92" t="str">
        <f aca="false">IF(C24="","","Q-"&amp;TEXT(ROW()-4,"00"))</f>
        <v/>
      </c>
      <c r="B24" s="92"/>
      <c r="C24" s="17"/>
      <c r="D24" s="17"/>
      <c r="E24" s="17"/>
      <c r="F24" s="92"/>
      <c r="G24" s="92"/>
      <c r="H24" s="92"/>
      <c r="I24" s="92"/>
      <c r="J24" s="17"/>
      <c r="K24" s="92"/>
    </row>
    <row r="25" customFormat="false" ht="15" hidden="false" customHeight="true" outlineLevel="0" collapsed="false">
      <c r="A25" s="92" t="str">
        <f aca="false">IF(C25="","","Q-"&amp;TEXT(ROW()-4,"00"))</f>
        <v/>
      </c>
      <c r="B25" s="92"/>
      <c r="C25" s="17"/>
      <c r="D25" s="17"/>
      <c r="E25" s="17"/>
      <c r="F25" s="92"/>
      <c r="G25" s="92"/>
      <c r="H25" s="92"/>
      <c r="I25" s="92"/>
      <c r="J25" s="17"/>
      <c r="K25" s="92"/>
    </row>
    <row r="26" customFormat="false" ht="15" hidden="false" customHeight="true" outlineLevel="0" collapsed="false">
      <c r="A26" s="92" t="str">
        <f aca="false">IF(C26="","","Q-"&amp;TEXT(ROW()-4,"00"))</f>
        <v/>
      </c>
      <c r="B26" s="92"/>
      <c r="C26" s="17"/>
      <c r="D26" s="17"/>
      <c r="E26" s="17"/>
      <c r="F26" s="92"/>
      <c r="G26" s="92"/>
      <c r="H26" s="92"/>
      <c r="I26" s="92"/>
      <c r="J26" s="17"/>
      <c r="K26" s="92"/>
    </row>
    <row r="27" customFormat="false" ht="15" hidden="false" customHeight="true" outlineLevel="0" collapsed="false">
      <c r="A27" s="92" t="str">
        <f aca="false">IF(C27="","","Q-"&amp;TEXT(ROW()-4,"00"))</f>
        <v/>
      </c>
      <c r="B27" s="92"/>
      <c r="C27" s="17"/>
      <c r="D27" s="17"/>
      <c r="E27" s="17"/>
      <c r="F27" s="92"/>
      <c r="G27" s="92"/>
      <c r="H27" s="92"/>
      <c r="I27" s="92"/>
      <c r="J27" s="17"/>
      <c r="K27" s="92"/>
    </row>
    <row r="28" customFormat="false" ht="15" hidden="false" customHeight="true" outlineLevel="0" collapsed="false">
      <c r="A28" s="92" t="str">
        <f aca="false">IF(C28="","","Q-"&amp;TEXT(ROW()-4,"00"))</f>
        <v/>
      </c>
      <c r="B28" s="92"/>
      <c r="C28" s="17"/>
      <c r="D28" s="17"/>
      <c r="E28" s="17"/>
      <c r="F28" s="92"/>
      <c r="G28" s="92"/>
      <c r="H28" s="92"/>
      <c r="I28" s="92"/>
      <c r="J28" s="17"/>
      <c r="K28" s="92"/>
    </row>
    <row r="29" customFormat="false" ht="15" hidden="false" customHeight="true" outlineLevel="0" collapsed="false">
      <c r="A29" s="92" t="str">
        <f aca="false">IF(C29="","","Q-"&amp;TEXT(ROW()-4,"00"))</f>
        <v/>
      </c>
      <c r="B29" s="92"/>
      <c r="C29" s="17"/>
      <c r="D29" s="17"/>
      <c r="E29" s="17"/>
      <c r="F29" s="92"/>
      <c r="G29" s="92"/>
      <c r="H29" s="92"/>
      <c r="I29" s="92"/>
      <c r="J29" s="17"/>
      <c r="K29" s="92"/>
    </row>
    <row r="30" customFormat="false" ht="15" hidden="false" customHeight="true" outlineLevel="0" collapsed="false">
      <c r="A30" s="92" t="str">
        <f aca="false">IF(C30="","","Q-"&amp;TEXT(ROW()-4,"00"))</f>
        <v/>
      </c>
      <c r="B30" s="92"/>
      <c r="C30" s="17"/>
      <c r="D30" s="17"/>
      <c r="E30" s="17"/>
      <c r="F30" s="92"/>
      <c r="G30" s="92"/>
      <c r="H30" s="92"/>
      <c r="I30" s="92"/>
      <c r="J30" s="17"/>
      <c r="K30" s="92"/>
    </row>
    <row r="31" customFormat="false" ht="15" hidden="false" customHeight="true" outlineLevel="0" collapsed="false">
      <c r="A31" s="92" t="str">
        <f aca="false">IF(C31="","","Q-"&amp;TEXT(ROW()-4,"00"))</f>
        <v/>
      </c>
      <c r="B31" s="92"/>
      <c r="C31" s="17"/>
      <c r="D31" s="17"/>
      <c r="E31" s="17"/>
      <c r="F31" s="92"/>
      <c r="G31" s="92"/>
      <c r="H31" s="92"/>
      <c r="I31" s="92"/>
      <c r="J31" s="17"/>
      <c r="K31" s="92"/>
    </row>
    <row r="32" customFormat="false" ht="15" hidden="false" customHeight="true" outlineLevel="0" collapsed="false">
      <c r="A32" s="92" t="str">
        <f aca="false">IF(C32="","","Q-"&amp;TEXT(ROW()-4,"00"))</f>
        <v/>
      </c>
      <c r="B32" s="92"/>
      <c r="C32" s="17"/>
      <c r="D32" s="17"/>
      <c r="E32" s="17"/>
      <c r="F32" s="92"/>
      <c r="G32" s="92"/>
      <c r="H32" s="92"/>
      <c r="I32" s="92"/>
      <c r="J32" s="17"/>
      <c r="K32" s="92"/>
    </row>
    <row r="33" customFormat="false" ht="15" hidden="false" customHeight="true" outlineLevel="0" collapsed="false">
      <c r="A33" s="92" t="str">
        <f aca="false">IF(C33="","","Q-"&amp;TEXT(ROW()-4,"00"))</f>
        <v/>
      </c>
      <c r="B33" s="92"/>
      <c r="C33" s="17"/>
      <c r="D33" s="17"/>
      <c r="E33" s="17"/>
      <c r="F33" s="92"/>
      <c r="G33" s="92"/>
      <c r="H33" s="92"/>
      <c r="I33" s="92"/>
      <c r="J33" s="17"/>
      <c r="K33" s="92"/>
    </row>
    <row r="34" customFormat="false" ht="15" hidden="false" customHeight="true" outlineLevel="0" collapsed="false">
      <c r="A34" s="92" t="str">
        <f aca="false">IF(C34="","","Q-"&amp;TEXT(ROW()-4,"00"))</f>
        <v/>
      </c>
      <c r="B34" s="92"/>
      <c r="C34" s="17"/>
      <c r="D34" s="17"/>
      <c r="E34" s="17"/>
      <c r="F34" s="92"/>
      <c r="G34" s="92"/>
      <c r="H34" s="92"/>
      <c r="I34" s="92"/>
      <c r="J34" s="17"/>
      <c r="K34" s="92"/>
    </row>
    <row r="35" customFormat="false" ht="15" hidden="false" customHeight="true" outlineLevel="0" collapsed="false">
      <c r="A35" s="92" t="str">
        <f aca="false">IF(C35="","","Q-"&amp;TEXT(ROW()-4,"00"))</f>
        <v/>
      </c>
      <c r="B35" s="92"/>
      <c r="C35" s="17"/>
      <c r="D35" s="17"/>
      <c r="E35" s="17"/>
      <c r="F35" s="92"/>
      <c r="G35" s="92"/>
      <c r="H35" s="92"/>
      <c r="I35" s="92"/>
      <c r="J35" s="17"/>
      <c r="K35" s="92"/>
    </row>
    <row r="36" customFormat="false" ht="15" hidden="false" customHeight="true" outlineLevel="0" collapsed="false">
      <c r="A36" s="92" t="str">
        <f aca="false">IF(C36="","","Q-"&amp;TEXT(ROW()-4,"00"))</f>
        <v/>
      </c>
      <c r="B36" s="92"/>
      <c r="C36" s="17"/>
      <c r="D36" s="17"/>
      <c r="E36" s="17"/>
      <c r="F36" s="92"/>
      <c r="G36" s="92"/>
      <c r="H36" s="92"/>
      <c r="I36" s="92"/>
      <c r="J36" s="17"/>
      <c r="K36" s="92"/>
    </row>
    <row r="37" customFormat="false" ht="15" hidden="false" customHeight="true" outlineLevel="0" collapsed="false">
      <c r="A37" s="92" t="str">
        <f aca="false">IF(C37="","","Q-"&amp;TEXT(ROW()-4,"00"))</f>
        <v/>
      </c>
      <c r="B37" s="92"/>
      <c r="C37" s="17"/>
      <c r="D37" s="17"/>
      <c r="E37" s="17"/>
      <c r="F37" s="92"/>
      <c r="G37" s="92"/>
      <c r="H37" s="92"/>
      <c r="I37" s="92"/>
      <c r="J37" s="17"/>
      <c r="K37" s="92"/>
    </row>
    <row r="38" customFormat="false" ht="15" hidden="false" customHeight="true" outlineLevel="0" collapsed="false">
      <c r="A38" s="92" t="str">
        <f aca="false">IF(C38="","","Q-"&amp;TEXT(ROW()-4,"00"))</f>
        <v/>
      </c>
      <c r="B38" s="92"/>
      <c r="C38" s="17"/>
      <c r="D38" s="17"/>
      <c r="E38" s="17"/>
      <c r="F38" s="92"/>
      <c r="G38" s="92"/>
      <c r="H38" s="92"/>
      <c r="I38" s="92"/>
      <c r="J38" s="17"/>
      <c r="K38" s="92"/>
    </row>
    <row r="39" customFormat="false" ht="15" hidden="false" customHeight="true" outlineLevel="0" collapsed="false">
      <c r="A39" s="92" t="str">
        <f aca="false">IF(C39="","","Q-"&amp;TEXT(ROW()-4,"00"))</f>
        <v/>
      </c>
      <c r="B39" s="92"/>
      <c r="C39" s="17"/>
      <c r="D39" s="17"/>
      <c r="E39" s="17"/>
      <c r="F39" s="92"/>
      <c r="G39" s="92"/>
      <c r="H39" s="92"/>
      <c r="I39" s="92"/>
      <c r="J39" s="17"/>
      <c r="K39" s="92"/>
    </row>
    <row r="40" customFormat="false" ht="15" hidden="false" customHeight="true" outlineLevel="0" collapsed="false">
      <c r="A40" s="92" t="str">
        <f aca="false">IF(C40="","","Q-"&amp;TEXT(ROW()-4,"00"))</f>
        <v/>
      </c>
      <c r="B40" s="92"/>
      <c r="C40" s="17"/>
      <c r="D40" s="17"/>
      <c r="E40" s="17"/>
      <c r="F40" s="92"/>
      <c r="G40" s="92"/>
      <c r="H40" s="92"/>
      <c r="I40" s="92"/>
      <c r="J40" s="17"/>
      <c r="K40" s="92"/>
    </row>
    <row r="41" customFormat="false" ht="15" hidden="false" customHeight="true" outlineLevel="0" collapsed="false">
      <c r="A41" s="92" t="str">
        <f aca="false">IF(C41="","","Q-"&amp;TEXT(ROW()-4,"00"))</f>
        <v/>
      </c>
      <c r="B41" s="92"/>
      <c r="C41" s="17"/>
      <c r="D41" s="17"/>
      <c r="E41" s="17"/>
      <c r="F41" s="92"/>
      <c r="G41" s="92"/>
      <c r="H41" s="92"/>
      <c r="I41" s="92"/>
      <c r="J41" s="17"/>
      <c r="K41" s="92"/>
    </row>
    <row r="42" customFormat="false" ht="15" hidden="false" customHeight="true" outlineLevel="0" collapsed="false">
      <c r="A42" s="92" t="str">
        <f aca="false">IF(C42="","","Q-"&amp;TEXT(ROW()-4,"00"))</f>
        <v/>
      </c>
      <c r="B42" s="92"/>
      <c r="C42" s="17"/>
      <c r="D42" s="17"/>
      <c r="E42" s="17"/>
      <c r="F42" s="92"/>
      <c r="G42" s="92"/>
      <c r="H42" s="92"/>
      <c r="I42" s="92"/>
      <c r="J42" s="17"/>
      <c r="K42" s="92"/>
    </row>
    <row r="43" customFormat="false" ht="15" hidden="false" customHeight="true" outlineLevel="0" collapsed="false">
      <c r="A43" s="92" t="str">
        <f aca="false">IF(C43="","","Q-"&amp;TEXT(ROW()-4,"00"))</f>
        <v/>
      </c>
      <c r="B43" s="92"/>
      <c r="C43" s="17"/>
      <c r="D43" s="17"/>
      <c r="E43" s="17"/>
      <c r="F43" s="92"/>
      <c r="G43" s="92"/>
      <c r="H43" s="92"/>
      <c r="I43" s="92"/>
      <c r="J43" s="17"/>
      <c r="K43" s="92"/>
    </row>
    <row r="44" customFormat="false" ht="15" hidden="false" customHeight="true" outlineLevel="0" collapsed="false">
      <c r="A44" s="92" t="str">
        <f aca="false">IF(C44="","","Q-"&amp;TEXT(ROW()-4,"00"))</f>
        <v/>
      </c>
      <c r="B44" s="92"/>
      <c r="C44" s="17"/>
      <c r="D44" s="17"/>
      <c r="E44" s="17"/>
      <c r="F44" s="92"/>
      <c r="G44" s="92"/>
      <c r="H44" s="92"/>
      <c r="I44" s="92"/>
      <c r="J44" s="17"/>
      <c r="K44" s="92"/>
    </row>
    <row r="45" customFormat="false" ht="15" hidden="false" customHeight="true" outlineLevel="0" collapsed="false">
      <c r="A45" s="92" t="str">
        <f aca="false">IF(C45="","","Q-"&amp;TEXT(ROW()-4,"00"))</f>
        <v/>
      </c>
      <c r="B45" s="92"/>
      <c r="C45" s="17"/>
      <c r="D45" s="17"/>
      <c r="E45" s="17"/>
      <c r="F45" s="92"/>
      <c r="G45" s="92"/>
      <c r="H45" s="92"/>
      <c r="I45" s="92"/>
      <c r="J45" s="17"/>
      <c r="K45" s="92"/>
    </row>
    <row r="46" customFormat="false" ht="15" hidden="false" customHeight="true" outlineLevel="0" collapsed="false">
      <c r="A46" s="92" t="str">
        <f aca="false">IF(C46="","","Q-"&amp;TEXT(ROW()-4,"00"))</f>
        <v/>
      </c>
      <c r="B46" s="92"/>
      <c r="C46" s="17"/>
      <c r="D46" s="17"/>
      <c r="E46" s="17"/>
      <c r="F46" s="92"/>
      <c r="G46" s="92"/>
      <c r="H46" s="92"/>
      <c r="I46" s="92"/>
      <c r="J46" s="17"/>
      <c r="K46" s="92"/>
    </row>
    <row r="47" customFormat="false" ht="15" hidden="false" customHeight="true" outlineLevel="0" collapsed="false">
      <c r="A47" s="92" t="str">
        <f aca="false">IF(C47="","","Q-"&amp;TEXT(ROW()-4,"00"))</f>
        <v/>
      </c>
      <c r="B47" s="92"/>
      <c r="C47" s="17"/>
      <c r="D47" s="17"/>
      <c r="E47" s="17"/>
      <c r="F47" s="92"/>
      <c r="G47" s="92"/>
      <c r="H47" s="92"/>
      <c r="I47" s="92"/>
      <c r="J47" s="17"/>
      <c r="K47" s="92"/>
    </row>
    <row r="48" customFormat="false" ht="15" hidden="false" customHeight="true" outlineLevel="0" collapsed="false">
      <c r="A48" s="92" t="str">
        <f aca="false">IF(C48="","","Q-"&amp;TEXT(ROW()-4,"00"))</f>
        <v/>
      </c>
      <c r="B48" s="92"/>
      <c r="C48" s="17"/>
      <c r="D48" s="17"/>
      <c r="E48" s="17"/>
      <c r="F48" s="92"/>
      <c r="G48" s="92"/>
      <c r="H48" s="92"/>
      <c r="I48" s="92"/>
      <c r="J48" s="17"/>
      <c r="K48" s="92"/>
    </row>
    <row r="49" customFormat="false" ht="15" hidden="false" customHeight="true" outlineLevel="0" collapsed="false">
      <c r="A49" s="92" t="str">
        <f aca="false">IF(C49="","","Q-"&amp;TEXT(ROW()-4,"00"))</f>
        <v/>
      </c>
      <c r="B49" s="92"/>
      <c r="C49" s="17"/>
      <c r="D49" s="17"/>
      <c r="E49" s="17"/>
      <c r="F49" s="92"/>
      <c r="G49" s="92"/>
      <c r="H49" s="92"/>
      <c r="I49" s="92"/>
      <c r="J49" s="17"/>
      <c r="K49" s="92"/>
    </row>
    <row r="50" customFormat="false" ht="15" hidden="false" customHeight="true" outlineLevel="0" collapsed="false">
      <c r="A50" s="92" t="str">
        <f aca="false">IF(C50="","","Q-"&amp;TEXT(ROW()-4,"00"))</f>
        <v/>
      </c>
      <c r="B50" s="92"/>
      <c r="C50" s="17"/>
      <c r="D50" s="17"/>
      <c r="E50" s="17"/>
      <c r="F50" s="92"/>
      <c r="G50" s="92"/>
      <c r="H50" s="92"/>
      <c r="I50" s="92"/>
      <c r="J50" s="17"/>
      <c r="K50" s="92"/>
    </row>
    <row r="51" customFormat="false" ht="15" hidden="false" customHeight="true" outlineLevel="0" collapsed="false">
      <c r="A51" s="92" t="str">
        <f aca="false">IF(C51="","","Q-"&amp;TEXT(ROW()-4,"00"))</f>
        <v/>
      </c>
      <c r="B51" s="92"/>
      <c r="C51" s="17"/>
      <c r="D51" s="17"/>
      <c r="E51" s="17"/>
      <c r="F51" s="92"/>
      <c r="G51" s="92"/>
      <c r="H51" s="92"/>
      <c r="I51" s="92"/>
      <c r="J51" s="17"/>
      <c r="K51" s="92"/>
    </row>
    <row r="52" customFormat="false" ht="15" hidden="false" customHeight="true" outlineLevel="0" collapsed="false">
      <c r="A52" s="92" t="str">
        <f aca="false">IF(C52="","","Q-"&amp;TEXT(ROW()-4,"00"))</f>
        <v/>
      </c>
      <c r="B52" s="92"/>
      <c r="C52" s="17"/>
      <c r="D52" s="17"/>
      <c r="E52" s="17"/>
      <c r="F52" s="92"/>
      <c r="G52" s="92"/>
      <c r="H52" s="92"/>
      <c r="I52" s="92"/>
      <c r="J52" s="17"/>
      <c r="K52" s="92"/>
    </row>
    <row r="53" customFormat="false" ht="15" hidden="false" customHeight="true" outlineLevel="0" collapsed="false">
      <c r="A53" s="92" t="str">
        <f aca="false">IF(C53="","","Q-"&amp;TEXT(ROW()-4,"00"))</f>
        <v/>
      </c>
      <c r="B53" s="92"/>
      <c r="C53" s="17"/>
      <c r="D53" s="17"/>
      <c r="E53" s="17"/>
      <c r="F53" s="92"/>
      <c r="G53" s="92"/>
      <c r="H53" s="92"/>
      <c r="I53" s="92"/>
      <c r="J53" s="17"/>
      <c r="K53" s="92"/>
    </row>
    <row r="54" customFormat="false" ht="15" hidden="false" customHeight="true" outlineLevel="0" collapsed="false">
      <c r="A54" s="92" t="str">
        <f aca="false">IF(C54="","","Q-"&amp;TEXT(ROW()-4,"00"))</f>
        <v/>
      </c>
      <c r="B54" s="92"/>
      <c r="C54" s="17"/>
      <c r="D54" s="17"/>
      <c r="E54" s="17"/>
      <c r="F54" s="92"/>
      <c r="G54" s="92"/>
      <c r="H54" s="92"/>
      <c r="I54" s="92"/>
      <c r="J54" s="17"/>
      <c r="K54" s="92"/>
    </row>
  </sheetData>
  <autoFilter ref="A4:K54"/>
  <dataValidations count="4">
    <dataValidation allowBlank="true" errorStyle="stop" operator="between" showDropDown="false" showErrorMessage="false" showInputMessage="false" sqref="G5:G54" type="list">
      <formula1>"최우선,높음,보통,낮음"</formula1>
      <formula2>0</formula2>
    </dataValidation>
    <dataValidation allowBlank="true" errorStyle="stop" operator="between" showDropDown="false" showErrorMessage="false" showInputMessage="false" sqref="H5:H54" type="list">
      <formula1>"미제출,제출,회신,완료,미회신"</formula1>
      <formula2>0</formula2>
    </dataValidation>
    <dataValidation allowBlank="true" errorStyle="stop" operator="between" showDropDown="false" showErrorMessage="false" showInputMessage="false" sqref="F5:F54" type="list">
      <formula1>"계약 협상,내부 확인,내용설명회,영업 채널,제안 질의(공식)"</formula1>
      <formula2>0</formula2>
    </dataValidation>
    <dataValidation allowBlank="true" errorStyle="stop" operator="between" showDropDown="false" showErrorMessage="false" showInputMessage="false" sqref="B5:B54" type="list">
      <formula1>"계약,기술이전,기타,라이선스,문서,범위,범위·원가,보안,산출물,성능,연동,운영,원가,인프라,일정,작업장소,지식재산,품질,호환성"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4" activeCellId="0" sqref="E44"/>
    </sheetView>
  </sheetViews>
  <sheetFormatPr defaultColWidth="8.5703125" defaultRowHeight="15" zeroHeight="false" outlineLevelRow="0" outlineLevelCol="0"/>
  <cols>
    <col collapsed="false" customWidth="true" hidden="false" outlineLevel="0" max="1" min="1" style="55" width="3"/>
    <col collapsed="false" customWidth="true" hidden="false" outlineLevel="0" max="2" min="2" style="55" width="30"/>
    <col collapsed="false" customWidth="true" hidden="false" outlineLevel="0" max="3" min="3" style="55" width="8"/>
    <col collapsed="false" customWidth="true" hidden="false" outlineLevel="0" max="5" min="4" style="55" width="18"/>
    <col collapsed="false" customWidth="true" hidden="false" outlineLevel="0" max="6" min="6" style="55" width="19"/>
    <col collapsed="false" customWidth="true" hidden="false" outlineLevel="0" max="7" min="7" style="55" width="70.42"/>
    <col collapsed="false" customWidth="true" hidden="false" outlineLevel="0" max="8" min="8" style="55" width="3"/>
  </cols>
  <sheetData>
    <row r="2" customFormat="false" ht="21" hidden="false" customHeight="true" outlineLevel="0" collapsed="false">
      <c r="B2" s="69" t="s">
        <v>579</v>
      </c>
    </row>
    <row r="3" customFormat="false" ht="15" hidden="false" customHeight="true" outlineLevel="0" collapsed="false">
      <c r="B3" s="71" t="s">
        <v>580</v>
      </c>
    </row>
    <row r="5" customFormat="false" ht="16.5" hidden="false" customHeight="true" outlineLevel="0" collapsed="false">
      <c r="B5" s="5" t="s">
        <v>581</v>
      </c>
      <c r="C5" s="106"/>
      <c r="D5" s="106"/>
      <c r="E5" s="106"/>
      <c r="F5" s="106"/>
      <c r="G5" s="106"/>
    </row>
    <row r="6" customFormat="false" ht="15" hidden="false" customHeight="true" outlineLevel="0" collapsed="false">
      <c r="B6" s="23" t="s">
        <v>582</v>
      </c>
      <c r="C6" s="107"/>
      <c r="D6" s="108"/>
      <c r="E6" s="107"/>
      <c r="F6" s="107"/>
      <c r="G6" s="109" t="s">
        <v>583</v>
      </c>
    </row>
    <row r="7" customFormat="false" ht="15" hidden="false" customHeight="true" outlineLevel="0" collapsed="false">
      <c r="B7" s="23" t="s">
        <v>584</v>
      </c>
      <c r="C7" s="107"/>
      <c r="D7" s="108"/>
      <c r="E7" s="107"/>
      <c r="F7" s="107"/>
      <c r="G7" s="110" t="s">
        <v>585</v>
      </c>
    </row>
    <row r="8" customFormat="false" ht="15" hidden="false" customHeight="true" outlineLevel="0" collapsed="false">
      <c r="B8" s="23" t="s">
        <v>586</v>
      </c>
      <c r="C8" s="107"/>
      <c r="D8" s="108"/>
      <c r="E8" s="107"/>
      <c r="F8" s="107"/>
      <c r="G8" s="109"/>
    </row>
    <row r="9" customFormat="false" ht="15" hidden="false" customHeight="true" outlineLevel="0" collapsed="false">
      <c r="B9" s="23" t="s">
        <v>587</v>
      </c>
      <c r="C9" s="107"/>
      <c r="D9" s="108"/>
      <c r="E9" s="107"/>
      <c r="F9" s="107"/>
      <c r="G9" s="109"/>
    </row>
    <row r="10" customFormat="false" ht="15" hidden="false" customHeight="true" outlineLevel="0" collapsed="false">
      <c r="B10" s="111" t="s">
        <v>588</v>
      </c>
      <c r="C10" s="107"/>
      <c r="D10" s="112" t="n">
        <f aca="false">D6-SUM(D7:D9)</f>
        <v>0</v>
      </c>
      <c r="E10" s="107"/>
      <c r="F10" s="107"/>
      <c r="G10" s="107"/>
    </row>
    <row r="12" customFormat="false" ht="16.5" hidden="false" customHeight="true" outlineLevel="0" collapsed="false">
      <c r="B12" s="5" t="s">
        <v>589</v>
      </c>
      <c r="C12" s="106"/>
      <c r="D12" s="106"/>
      <c r="E12" s="106"/>
      <c r="F12" s="106"/>
      <c r="G12" s="106"/>
    </row>
    <row r="13" customFormat="false" ht="15" hidden="false" customHeight="true" outlineLevel="0" collapsed="false">
      <c r="B13" s="23" t="s">
        <v>590</v>
      </c>
      <c r="C13" s="107"/>
      <c r="D13" s="113" t="n">
        <f aca="false">'① 표지·심의결과'!F38</f>
        <v>0</v>
      </c>
      <c r="E13" s="107"/>
      <c r="F13" s="107"/>
      <c r="G13" s="109" t="s">
        <v>591</v>
      </c>
    </row>
    <row r="14" customFormat="false" ht="15" hidden="false" customHeight="true" outlineLevel="0" collapsed="false">
      <c r="B14" s="23" t="s">
        <v>592</v>
      </c>
      <c r="C14" s="107"/>
      <c r="D14" s="108"/>
      <c r="E14" s="107"/>
      <c r="F14" s="107"/>
      <c r="G14" s="110" t="s">
        <v>593</v>
      </c>
    </row>
    <row r="15" customFormat="false" ht="15" hidden="false" customHeight="true" outlineLevel="0" collapsed="false">
      <c r="B15" s="23" t="s">
        <v>594</v>
      </c>
      <c r="C15" s="107"/>
      <c r="D15" s="108"/>
      <c r="E15" s="107"/>
      <c r="F15" s="107"/>
      <c r="G15" s="109" t="s">
        <v>595</v>
      </c>
    </row>
    <row r="16" customFormat="false" ht="15" hidden="false" customHeight="true" outlineLevel="0" collapsed="false">
      <c r="B16" s="23" t="s">
        <v>596</v>
      </c>
      <c r="C16" s="107"/>
      <c r="D16" s="108"/>
      <c r="E16" s="107"/>
      <c r="F16" s="107"/>
      <c r="G16" s="114" t="s">
        <v>597</v>
      </c>
    </row>
    <row r="17" customFormat="false" ht="15" hidden="false" customHeight="true" outlineLevel="0" collapsed="false">
      <c r="B17" s="23" t="s">
        <v>598</v>
      </c>
      <c r="C17" s="107"/>
      <c r="D17" s="108"/>
      <c r="E17" s="107"/>
      <c r="F17" s="107"/>
      <c r="G17" s="109" t="s">
        <v>599</v>
      </c>
    </row>
    <row r="18" customFormat="false" ht="15" hidden="false" customHeight="true" outlineLevel="0" collapsed="false">
      <c r="B18" s="23" t="s">
        <v>600</v>
      </c>
      <c r="C18" s="107"/>
      <c r="D18" s="108"/>
      <c r="E18" s="107"/>
      <c r="F18" s="107"/>
      <c r="G18" s="109" t="s">
        <v>601</v>
      </c>
    </row>
    <row r="19" customFormat="false" ht="15" hidden="false" customHeight="true" outlineLevel="0" collapsed="false">
      <c r="B19" s="23" t="s">
        <v>602</v>
      </c>
      <c r="C19" s="107"/>
      <c r="D19" s="108"/>
      <c r="E19" s="107"/>
      <c r="F19" s="107"/>
      <c r="G19" s="109"/>
    </row>
    <row r="20" customFormat="false" ht="15" hidden="false" customHeight="true" outlineLevel="0" collapsed="false">
      <c r="B20" s="111" t="s">
        <v>603</v>
      </c>
      <c r="C20" s="107"/>
      <c r="D20" s="112" t="n">
        <f aca="false">SUM(D13:D19)</f>
        <v>0</v>
      </c>
      <c r="E20" s="107"/>
      <c r="F20" s="107"/>
      <c r="G20" s="107"/>
    </row>
    <row r="22" customFormat="false" ht="16.5" hidden="false" customHeight="true" outlineLevel="0" collapsed="false">
      <c r="B22" s="115" t="s">
        <v>604</v>
      </c>
      <c r="C22" s="116"/>
      <c r="D22" s="116"/>
      <c r="E22" s="116"/>
      <c r="F22" s="116"/>
      <c r="G22" s="116"/>
    </row>
    <row r="23" customFormat="false" ht="15" hidden="false" customHeight="true" outlineLevel="0" collapsed="false">
      <c r="B23" s="16" t="s">
        <v>605</v>
      </c>
      <c r="C23" s="16"/>
      <c r="D23" s="16" t="s">
        <v>606</v>
      </c>
      <c r="E23" s="16" t="s">
        <v>607</v>
      </c>
      <c r="F23" s="16" t="s">
        <v>109</v>
      </c>
      <c r="G23" s="16"/>
    </row>
    <row r="24" customFormat="false" ht="15" hidden="false" customHeight="true" outlineLevel="0" collapsed="false">
      <c r="B24" s="117" t="s">
        <v>608</v>
      </c>
      <c r="C24" s="118"/>
      <c r="D24" s="108"/>
      <c r="E24" s="108"/>
      <c r="F24" s="119" t="s">
        <v>609</v>
      </c>
      <c r="G24" s="119"/>
    </row>
    <row r="25" customFormat="false" ht="15" hidden="false" customHeight="true" outlineLevel="0" collapsed="false">
      <c r="B25" s="120"/>
      <c r="C25" s="118"/>
      <c r="D25" s="108"/>
      <c r="E25" s="108"/>
      <c r="F25" s="121"/>
      <c r="G25" s="121"/>
    </row>
    <row r="26" customFormat="false" ht="15" hidden="false" customHeight="true" outlineLevel="0" collapsed="false">
      <c r="B26" s="120"/>
      <c r="C26" s="118"/>
      <c r="D26" s="108"/>
      <c r="E26" s="108"/>
      <c r="F26" s="121"/>
      <c r="G26" s="121"/>
    </row>
    <row r="27" customFormat="false" ht="15" hidden="false" customHeight="true" outlineLevel="0" collapsed="false">
      <c r="B27" s="122"/>
      <c r="C27" s="118"/>
      <c r="D27" s="108"/>
      <c r="E27" s="108"/>
      <c r="F27" s="121"/>
      <c r="G27" s="121"/>
    </row>
    <row r="28" customFormat="false" ht="15" hidden="false" customHeight="true" outlineLevel="0" collapsed="false">
      <c r="B28" s="120"/>
      <c r="C28" s="118"/>
      <c r="D28" s="108"/>
      <c r="E28" s="108"/>
      <c r="F28" s="121"/>
      <c r="G28" s="121"/>
    </row>
    <row r="29" customFormat="false" ht="15" hidden="false" customHeight="true" outlineLevel="0" collapsed="false">
      <c r="B29" s="123" t="s">
        <v>610</v>
      </c>
      <c r="C29" s="124"/>
      <c r="D29" s="125" t="n">
        <f aca="false">SUM(D24:D28)</f>
        <v>0</v>
      </c>
      <c r="E29" s="125" t="n">
        <f aca="false">SUM(E24:E28)</f>
        <v>0</v>
      </c>
      <c r="F29" s="124"/>
      <c r="G29" s="124"/>
    </row>
    <row r="31" customFormat="false" ht="16.5" hidden="false" customHeight="true" outlineLevel="0" collapsed="false">
      <c r="B31" s="49" t="s">
        <v>611</v>
      </c>
      <c r="C31" s="126"/>
      <c r="D31" s="126"/>
      <c r="E31" s="126"/>
      <c r="F31" s="126"/>
      <c r="G31" s="126"/>
    </row>
    <row r="32" customFormat="false" ht="15" hidden="false" customHeight="true" outlineLevel="0" collapsed="false">
      <c r="B32" s="23" t="s">
        <v>612</v>
      </c>
      <c r="C32" s="107"/>
      <c r="D32" s="127" t="n">
        <f aca="false">$D$10-$D$20</f>
        <v>0</v>
      </c>
      <c r="E32" s="107"/>
      <c r="F32" s="107"/>
      <c r="G32" s="107"/>
    </row>
    <row r="33" customFormat="false" ht="15" hidden="false" customHeight="true" outlineLevel="0" collapsed="false">
      <c r="B33" s="23" t="s">
        <v>613</v>
      </c>
      <c r="C33" s="107"/>
      <c r="D33" s="128" t="n">
        <f aca="false">IFERROR(D32/$D$10,0)</f>
        <v>0</v>
      </c>
      <c r="E33" s="107"/>
      <c r="F33" s="107"/>
      <c r="G33" s="109" t="s">
        <v>614</v>
      </c>
    </row>
    <row r="34" customFormat="false" ht="15" hidden="false" customHeight="true" outlineLevel="0" collapsed="false">
      <c r="B34" s="23" t="s">
        <v>615</v>
      </c>
      <c r="C34" s="107"/>
      <c r="D34" s="127" t="n">
        <f aca="false">$D$10-$D$20-$E$29</f>
        <v>0</v>
      </c>
      <c r="E34" s="107"/>
      <c r="F34" s="107"/>
      <c r="G34" s="107"/>
    </row>
    <row r="35" customFormat="false" ht="15" hidden="false" customHeight="true" outlineLevel="0" collapsed="false">
      <c r="B35" s="23" t="s">
        <v>616</v>
      </c>
      <c r="C35" s="107"/>
      <c r="D35" s="128" t="n">
        <f aca="false">IFERROR(D34/$D$10,0)</f>
        <v>0</v>
      </c>
      <c r="E35" s="107"/>
      <c r="F35" s="107"/>
      <c r="G35" s="109" t="s">
        <v>614</v>
      </c>
    </row>
  </sheetData>
  <mergeCells count="6">
    <mergeCell ref="F23:G23"/>
    <mergeCell ref="F24:G24"/>
    <mergeCell ref="F25:G25"/>
    <mergeCell ref="F26:G26"/>
    <mergeCell ref="F27:G27"/>
    <mergeCell ref="F28:G2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68"/>
  <sheetViews>
    <sheetView showFormulas="false" showGridLines="fals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D44" activeCellId="0" sqref="D44"/>
    </sheetView>
  </sheetViews>
  <sheetFormatPr defaultColWidth="8.5703125" defaultRowHeight="15" zeroHeight="false" outlineLevelRow="0" outlineLevelCol="0"/>
  <cols>
    <col collapsed="false" customWidth="true" hidden="false" outlineLevel="0" max="1" min="1" style="55" width="3"/>
    <col collapsed="false" customWidth="true" hidden="false" outlineLevel="0" max="2" min="2" style="55" width="24"/>
    <col collapsed="false" customWidth="true" hidden="false" outlineLevel="0" max="3" min="3" style="55" width="30"/>
    <col collapsed="false" customWidth="true" hidden="false" outlineLevel="0" max="4" min="4" style="55" width="58"/>
    <col collapsed="false" customWidth="true" hidden="false" outlineLevel="0" max="5" min="5" style="55" width="32"/>
  </cols>
  <sheetData>
    <row r="2" customFormat="false" ht="21" hidden="false" customHeight="true" outlineLevel="0" collapsed="false">
      <c r="B2" s="69" t="s">
        <v>617</v>
      </c>
    </row>
    <row r="3" customFormat="false" ht="15" hidden="false" customHeight="true" outlineLevel="0" collapsed="false">
      <c r="B3" s="129" t="s">
        <v>618</v>
      </c>
    </row>
    <row r="5" customFormat="false" ht="16.5" hidden="false" customHeight="true" outlineLevel="0" collapsed="false">
      <c r="B5" s="5" t="s">
        <v>619</v>
      </c>
      <c r="C5" s="106"/>
      <c r="D5" s="106"/>
      <c r="E5" s="106"/>
    </row>
    <row r="6" customFormat="false" ht="15" hidden="false" customHeight="true" outlineLevel="0" collapsed="false">
      <c r="B6" s="16" t="s">
        <v>620</v>
      </c>
      <c r="C6" s="16" t="s">
        <v>621</v>
      </c>
      <c r="D6" s="16" t="s">
        <v>622</v>
      </c>
      <c r="E6" s="16" t="s">
        <v>623</v>
      </c>
    </row>
    <row r="7" customFormat="false" ht="31.5" hidden="false" customHeight="true" outlineLevel="0" collapsed="false">
      <c r="B7" s="130" t="s">
        <v>624</v>
      </c>
      <c r="C7" s="18" t="s">
        <v>625</v>
      </c>
      <c r="D7" s="18" t="s">
        <v>626</v>
      </c>
      <c r="E7" s="17" t="s">
        <v>627</v>
      </c>
    </row>
    <row r="8" customFormat="false" ht="45" hidden="false" customHeight="true" outlineLevel="0" collapsed="false">
      <c r="B8" s="131" t="s">
        <v>628</v>
      </c>
      <c r="C8" s="18" t="s">
        <v>629</v>
      </c>
      <c r="D8" s="18" t="s">
        <v>630</v>
      </c>
      <c r="E8" s="18" t="s">
        <v>631</v>
      </c>
    </row>
    <row r="9" customFormat="false" ht="31.5" hidden="false" customHeight="true" outlineLevel="0" collapsed="false">
      <c r="B9" s="131" t="s">
        <v>632</v>
      </c>
      <c r="C9" s="18" t="s">
        <v>633</v>
      </c>
      <c r="D9" s="18" t="s">
        <v>634</v>
      </c>
      <c r="E9" s="18" t="s">
        <v>635</v>
      </c>
    </row>
    <row r="10" customFormat="false" ht="45" hidden="false" customHeight="true" outlineLevel="0" collapsed="false">
      <c r="B10" s="131" t="s">
        <v>636</v>
      </c>
      <c r="C10" s="18" t="s">
        <v>637</v>
      </c>
      <c r="D10" s="18" t="s">
        <v>638</v>
      </c>
      <c r="E10" s="18" t="s">
        <v>639</v>
      </c>
    </row>
    <row r="11" customFormat="false" ht="45" hidden="false" customHeight="true" outlineLevel="0" collapsed="false">
      <c r="B11" s="131" t="s">
        <v>640</v>
      </c>
      <c r="C11" s="18" t="s">
        <v>641</v>
      </c>
      <c r="D11" s="18" t="s">
        <v>642</v>
      </c>
      <c r="E11" s="17" t="s">
        <v>643</v>
      </c>
    </row>
    <row r="12" customFormat="false" ht="18" hidden="false" customHeight="true" outlineLevel="0" collapsed="false">
      <c r="B12" s="131" t="s">
        <v>644</v>
      </c>
      <c r="C12" s="17" t="s">
        <v>645</v>
      </c>
      <c r="D12" s="18" t="s">
        <v>646</v>
      </c>
      <c r="E12" s="18" t="s">
        <v>647</v>
      </c>
    </row>
    <row r="14" customFormat="false" ht="16.5" hidden="false" customHeight="true" outlineLevel="0" collapsed="false">
      <c r="B14" s="5" t="s">
        <v>648</v>
      </c>
      <c r="C14" s="106"/>
      <c r="D14" s="106"/>
      <c r="E14" s="106"/>
    </row>
    <row r="15" customFormat="false" ht="15" hidden="false" customHeight="true" outlineLevel="0" collapsed="false">
      <c r="B15" s="16" t="s">
        <v>105</v>
      </c>
      <c r="C15" s="16" t="s">
        <v>649</v>
      </c>
      <c r="D15" s="132" t="s">
        <v>650</v>
      </c>
      <c r="E15" s="16" t="s">
        <v>42</v>
      </c>
    </row>
    <row r="16" customFormat="false" ht="31.5" hidden="false" customHeight="true" outlineLevel="0" collapsed="false">
      <c r="B16" s="131" t="s">
        <v>651</v>
      </c>
      <c r="C16" s="17" t="s">
        <v>652</v>
      </c>
      <c r="D16" s="17" t="s">
        <v>653</v>
      </c>
      <c r="E16" s="18" t="s">
        <v>654</v>
      </c>
    </row>
    <row r="17" customFormat="false" ht="18" hidden="false" customHeight="true" outlineLevel="0" collapsed="false">
      <c r="B17" s="131" t="s">
        <v>655</v>
      </c>
      <c r="C17" s="17" t="s">
        <v>656</v>
      </c>
      <c r="D17" s="18" t="s">
        <v>657</v>
      </c>
      <c r="E17" s="17" t="s">
        <v>658</v>
      </c>
    </row>
    <row r="18" customFormat="false" ht="31.5" hidden="false" customHeight="true" outlineLevel="0" collapsed="false">
      <c r="B18" s="131" t="s">
        <v>659</v>
      </c>
      <c r="C18" s="17" t="s">
        <v>660</v>
      </c>
      <c r="D18" s="18" t="s">
        <v>661</v>
      </c>
      <c r="E18" s="18" t="s">
        <v>662</v>
      </c>
    </row>
    <row r="19" customFormat="false" ht="45" hidden="false" customHeight="true" outlineLevel="0" collapsed="false">
      <c r="B19" s="131" t="s">
        <v>663</v>
      </c>
      <c r="C19" s="18" t="s">
        <v>664</v>
      </c>
      <c r="D19" s="18" t="s">
        <v>665</v>
      </c>
      <c r="E19" s="18" t="s">
        <v>666</v>
      </c>
    </row>
    <row r="20" customFormat="false" ht="26.25" hidden="false" customHeight="true" outlineLevel="0" collapsed="false">
      <c r="B20" s="133"/>
      <c r="C20" s="134"/>
      <c r="D20" s="133"/>
      <c r="E20" s="134"/>
    </row>
    <row r="21" customFormat="false" ht="15" hidden="false" customHeight="true" outlineLevel="0" collapsed="false">
      <c r="B21" s="135" t="s">
        <v>667</v>
      </c>
      <c r="C21" s="136"/>
      <c r="D21" s="137"/>
      <c r="E21" s="136"/>
    </row>
    <row r="22" customFormat="false" ht="15" hidden="false" customHeight="true" outlineLevel="0" collapsed="false">
      <c r="B22" s="16" t="s">
        <v>668</v>
      </c>
      <c r="C22" s="16" t="s">
        <v>669</v>
      </c>
      <c r="D22" s="16" t="s">
        <v>670</v>
      </c>
      <c r="E22" s="16" t="s">
        <v>671</v>
      </c>
    </row>
    <row r="23" customFormat="false" ht="31.5" hidden="false" customHeight="true" outlineLevel="0" collapsed="false">
      <c r="B23" s="130" t="s">
        <v>672</v>
      </c>
      <c r="C23" s="18" t="s">
        <v>673</v>
      </c>
      <c r="D23" s="18" t="s">
        <v>674</v>
      </c>
      <c r="E23" s="18" t="s">
        <v>675</v>
      </c>
    </row>
    <row r="24" customFormat="false" ht="18" hidden="false" customHeight="true" outlineLevel="0" collapsed="false">
      <c r="B24" s="130" t="s">
        <v>676</v>
      </c>
      <c r="C24" s="18" t="s">
        <v>677</v>
      </c>
      <c r="D24" s="18" t="s">
        <v>678</v>
      </c>
      <c r="E24" s="18" t="s">
        <v>679</v>
      </c>
    </row>
    <row r="25" customFormat="false" ht="18" hidden="false" customHeight="true" outlineLevel="0" collapsed="false">
      <c r="B25" s="130" t="s">
        <v>680</v>
      </c>
      <c r="C25" s="18" t="s">
        <v>681</v>
      </c>
      <c r="D25" s="18" t="s">
        <v>682</v>
      </c>
      <c r="E25" s="18" t="s">
        <v>683</v>
      </c>
    </row>
    <row r="26" customFormat="false" ht="18" hidden="false" customHeight="true" outlineLevel="0" collapsed="false">
      <c r="B26" s="130" t="s">
        <v>684</v>
      </c>
      <c r="C26" s="18" t="s">
        <v>685</v>
      </c>
      <c r="D26" s="18" t="s">
        <v>686</v>
      </c>
      <c r="E26" s="18" t="s">
        <v>687</v>
      </c>
    </row>
    <row r="27" customFormat="false" ht="18" hidden="false" customHeight="true" outlineLevel="0" collapsed="false">
      <c r="B27" s="130" t="s">
        <v>688</v>
      </c>
      <c r="C27" s="18" t="s">
        <v>689</v>
      </c>
      <c r="D27" s="18" t="s">
        <v>690</v>
      </c>
      <c r="E27" s="18" t="s">
        <v>691</v>
      </c>
    </row>
    <row r="28" customFormat="false" ht="26.25" hidden="false" customHeight="true" outlineLevel="0" collapsed="false">
      <c r="B28" s="133"/>
      <c r="C28" s="134"/>
      <c r="D28" s="134"/>
      <c r="E28" s="134"/>
    </row>
    <row r="29" customFormat="false" ht="15" hidden="false" customHeight="true" outlineLevel="0" collapsed="false">
      <c r="B29" s="135" t="s">
        <v>692</v>
      </c>
      <c r="C29" s="137"/>
      <c r="D29" s="136"/>
      <c r="E29" s="136"/>
    </row>
    <row r="30" customFormat="false" ht="15" hidden="false" customHeight="true" outlineLevel="0" collapsed="false">
      <c r="B30" s="16" t="s">
        <v>668</v>
      </c>
      <c r="C30" s="16" t="s">
        <v>669</v>
      </c>
      <c r="D30" s="16" t="s">
        <v>670</v>
      </c>
      <c r="E30" s="16" t="s">
        <v>693</v>
      </c>
    </row>
    <row r="31" customFormat="false" ht="18" hidden="false" customHeight="true" outlineLevel="0" collapsed="false">
      <c r="B31" s="130" t="s">
        <v>694</v>
      </c>
      <c r="C31" s="18" t="s">
        <v>695</v>
      </c>
      <c r="D31" s="18" t="s">
        <v>696</v>
      </c>
      <c r="E31" s="17" t="s">
        <v>697</v>
      </c>
    </row>
    <row r="32" customFormat="false" ht="18" hidden="false" customHeight="true" outlineLevel="0" collapsed="false">
      <c r="B32" s="130" t="s">
        <v>698</v>
      </c>
      <c r="C32" s="18" t="s">
        <v>699</v>
      </c>
      <c r="D32" s="18" t="s">
        <v>700</v>
      </c>
      <c r="E32" s="17" t="s">
        <v>697</v>
      </c>
    </row>
    <row r="33" customFormat="false" ht="18" hidden="false" customHeight="true" outlineLevel="0" collapsed="false">
      <c r="B33" s="130" t="s">
        <v>701</v>
      </c>
      <c r="C33" s="18" t="s">
        <v>702</v>
      </c>
      <c r="D33" s="18" t="s">
        <v>703</v>
      </c>
      <c r="E33" s="17" t="s">
        <v>697</v>
      </c>
    </row>
    <row r="34" customFormat="false" ht="18" hidden="false" customHeight="true" outlineLevel="0" collapsed="false">
      <c r="B34" s="130" t="s">
        <v>704</v>
      </c>
      <c r="C34" s="18" t="s">
        <v>705</v>
      </c>
      <c r="D34" s="17" t="s">
        <v>706</v>
      </c>
      <c r="E34" s="17" t="s">
        <v>707</v>
      </c>
    </row>
    <row r="35" customFormat="false" ht="18" hidden="false" customHeight="true" outlineLevel="0" collapsed="false">
      <c r="B35" s="130" t="s">
        <v>708</v>
      </c>
      <c r="C35" s="18" t="s">
        <v>709</v>
      </c>
      <c r="D35" s="17" t="s">
        <v>710</v>
      </c>
      <c r="E35" s="18" t="s">
        <v>711</v>
      </c>
    </row>
    <row r="36" customFormat="false" ht="15" hidden="false" customHeight="true" outlineLevel="0" collapsed="false">
      <c r="B36" s="133"/>
      <c r="C36" s="134"/>
      <c r="D36" s="133"/>
      <c r="E36" s="134"/>
    </row>
    <row r="37" customFormat="false" ht="15" hidden="false" customHeight="true" outlineLevel="0" collapsed="false">
      <c r="B37" s="135" t="s">
        <v>712</v>
      </c>
      <c r="C37" s="136"/>
      <c r="D37" s="137"/>
      <c r="E37" s="136"/>
    </row>
    <row r="38" customFormat="false" ht="15" hidden="false" customHeight="true" outlineLevel="0" collapsed="false">
      <c r="B38" s="16" t="s">
        <v>713</v>
      </c>
      <c r="C38" s="16" t="s">
        <v>566</v>
      </c>
      <c r="D38" s="16" t="s">
        <v>714</v>
      </c>
      <c r="E38" s="16" t="s">
        <v>42</v>
      </c>
    </row>
    <row r="39" customFormat="false" ht="31.5" hidden="false" customHeight="true" outlineLevel="0" collapsed="false">
      <c r="B39" s="131" t="s">
        <v>715</v>
      </c>
      <c r="C39" s="18" t="s">
        <v>716</v>
      </c>
      <c r="D39" s="18" t="s">
        <v>717</v>
      </c>
      <c r="E39" s="18" t="s">
        <v>718</v>
      </c>
    </row>
    <row r="40" customFormat="false" ht="31.5" hidden="false" customHeight="true" outlineLevel="0" collapsed="false">
      <c r="B40" s="131" t="s">
        <v>137</v>
      </c>
      <c r="C40" s="18" t="s">
        <v>716</v>
      </c>
      <c r="D40" s="18" t="s">
        <v>719</v>
      </c>
      <c r="E40" s="18" t="s">
        <v>720</v>
      </c>
    </row>
    <row r="41" customFormat="false" ht="18" hidden="false" customHeight="true" outlineLevel="0" collapsed="false">
      <c r="B41" s="131" t="s">
        <v>721</v>
      </c>
      <c r="C41" s="18" t="s">
        <v>716</v>
      </c>
      <c r="D41" s="18" t="s">
        <v>722</v>
      </c>
      <c r="E41" s="18" t="s">
        <v>723</v>
      </c>
    </row>
    <row r="42" customFormat="false" ht="18" hidden="false" customHeight="true" outlineLevel="0" collapsed="false">
      <c r="B42" s="131" t="s">
        <v>559</v>
      </c>
      <c r="C42" s="18" t="s">
        <v>716</v>
      </c>
      <c r="D42" s="18" t="s">
        <v>724</v>
      </c>
      <c r="E42" s="18" t="s">
        <v>725</v>
      </c>
    </row>
    <row r="43" customFormat="false" ht="31.5" hidden="false" customHeight="true" outlineLevel="0" collapsed="false">
      <c r="B43" s="131" t="s">
        <v>726</v>
      </c>
      <c r="C43" s="18" t="s">
        <v>716</v>
      </c>
      <c r="D43" s="17" t="s">
        <v>727</v>
      </c>
      <c r="E43" s="18" t="s">
        <v>728</v>
      </c>
    </row>
    <row r="44" customFormat="false" ht="18" hidden="false" customHeight="true" outlineLevel="0" collapsed="false">
      <c r="B44" s="131" t="s">
        <v>142</v>
      </c>
      <c r="C44" s="18" t="s">
        <v>132</v>
      </c>
      <c r="D44" s="18" t="s">
        <v>729</v>
      </c>
      <c r="E44" s="18" t="s">
        <v>730</v>
      </c>
    </row>
    <row r="45" customFormat="false" ht="18" hidden="false" customHeight="true" outlineLevel="0" collapsed="false">
      <c r="B45" s="131" t="s">
        <v>731</v>
      </c>
      <c r="C45" s="18" t="s">
        <v>132</v>
      </c>
      <c r="D45" s="17" t="s">
        <v>732</v>
      </c>
      <c r="E45" s="17" t="s">
        <v>733</v>
      </c>
    </row>
    <row r="46" customFormat="false" ht="18" hidden="false" customHeight="true" outlineLevel="0" collapsed="false">
      <c r="B46" s="130" t="s">
        <v>144</v>
      </c>
      <c r="C46" s="18" t="s">
        <v>132</v>
      </c>
      <c r="D46" s="18" t="s">
        <v>734</v>
      </c>
      <c r="E46" s="17"/>
    </row>
    <row r="47" customFormat="false" ht="18" hidden="false" customHeight="true" outlineLevel="0" collapsed="false">
      <c r="B47" s="131" t="s">
        <v>735</v>
      </c>
      <c r="C47" s="18" t="s">
        <v>132</v>
      </c>
      <c r="D47" s="17" t="s">
        <v>736</v>
      </c>
      <c r="E47" s="17" t="s">
        <v>737</v>
      </c>
    </row>
    <row r="48" customFormat="false" ht="18" hidden="false" customHeight="true" outlineLevel="0" collapsed="false">
      <c r="B48" s="131" t="s">
        <v>146</v>
      </c>
      <c r="C48" s="18" t="s">
        <v>132</v>
      </c>
      <c r="D48" s="18" t="s">
        <v>738</v>
      </c>
      <c r="E48" s="18" t="s">
        <v>739</v>
      </c>
    </row>
    <row r="49" customFormat="false" ht="18" hidden="false" customHeight="true" outlineLevel="0" collapsed="false">
      <c r="B49" s="131" t="s">
        <v>147</v>
      </c>
      <c r="C49" s="17" t="s">
        <v>740</v>
      </c>
      <c r="D49" s="17" t="s">
        <v>741</v>
      </c>
      <c r="E49" s="17" t="s">
        <v>742</v>
      </c>
    </row>
    <row r="50" customFormat="false" ht="18" hidden="false" customHeight="true" outlineLevel="0" collapsed="false">
      <c r="B50" s="131" t="s">
        <v>743</v>
      </c>
      <c r="C50" s="17" t="s">
        <v>740</v>
      </c>
      <c r="D50" s="17" t="s">
        <v>744</v>
      </c>
      <c r="E50" s="17" t="s">
        <v>745</v>
      </c>
    </row>
    <row r="51" customFormat="false" ht="18" hidden="false" customHeight="true" outlineLevel="0" collapsed="false">
      <c r="B51" s="131" t="s">
        <v>150</v>
      </c>
      <c r="C51" s="17" t="s">
        <v>740</v>
      </c>
      <c r="D51" s="18" t="s">
        <v>746</v>
      </c>
      <c r="E51" s="18" t="s">
        <v>747</v>
      </c>
    </row>
    <row r="52" customFormat="false" ht="18" hidden="false" customHeight="true" outlineLevel="0" collapsed="false">
      <c r="B52" s="131" t="s">
        <v>748</v>
      </c>
      <c r="C52" s="17" t="s">
        <v>740</v>
      </c>
      <c r="D52" s="18" t="s">
        <v>749</v>
      </c>
      <c r="E52" s="17"/>
    </row>
    <row r="53" customFormat="false" ht="18" hidden="false" customHeight="true" outlineLevel="0" collapsed="false">
      <c r="B53" s="131" t="s">
        <v>750</v>
      </c>
      <c r="C53" s="17" t="s">
        <v>740</v>
      </c>
      <c r="D53" s="18" t="s">
        <v>751</v>
      </c>
      <c r="E53" s="18" t="s">
        <v>752</v>
      </c>
    </row>
    <row r="54" customFormat="false" ht="18" hidden="false" customHeight="true" outlineLevel="0" collapsed="false">
      <c r="B54" s="131" t="s">
        <v>155</v>
      </c>
      <c r="C54" s="17" t="s">
        <v>740</v>
      </c>
      <c r="D54" s="18" t="s">
        <v>753</v>
      </c>
      <c r="E54" s="18" t="s">
        <v>754</v>
      </c>
    </row>
    <row r="55" customFormat="false" ht="18" hidden="false" customHeight="true" outlineLevel="0" collapsed="false">
      <c r="B55" s="131" t="s">
        <v>755</v>
      </c>
      <c r="C55" s="17" t="s">
        <v>135</v>
      </c>
      <c r="D55" s="18" t="s">
        <v>756</v>
      </c>
      <c r="E55" s="17"/>
    </row>
    <row r="56" customFormat="false" ht="18" hidden="false" customHeight="true" outlineLevel="0" collapsed="false">
      <c r="B56" s="131" t="s">
        <v>757</v>
      </c>
      <c r="C56" s="18" t="s">
        <v>130</v>
      </c>
      <c r="D56" s="18" t="s">
        <v>758</v>
      </c>
      <c r="E56" s="18" t="s">
        <v>759</v>
      </c>
    </row>
    <row r="57" customFormat="false" ht="18" hidden="false" customHeight="true" outlineLevel="0" collapsed="false">
      <c r="B57" s="130" t="s">
        <v>760</v>
      </c>
      <c r="C57" s="18" t="s">
        <v>130</v>
      </c>
      <c r="D57" s="18" t="s">
        <v>761</v>
      </c>
      <c r="E57" s="18" t="s">
        <v>762</v>
      </c>
    </row>
    <row r="58" customFormat="false" ht="18" hidden="false" customHeight="true" outlineLevel="0" collapsed="false">
      <c r="B58" s="131" t="s">
        <v>763</v>
      </c>
      <c r="C58" s="17" t="s">
        <v>135</v>
      </c>
      <c r="D58" s="18" t="s">
        <v>764</v>
      </c>
      <c r="E58" s="18" t="s">
        <v>765</v>
      </c>
    </row>
    <row r="59" customFormat="false" ht="18" hidden="false" customHeight="true" outlineLevel="0" collapsed="false">
      <c r="B59" s="130" t="s">
        <v>766</v>
      </c>
      <c r="C59" s="17" t="s">
        <v>135</v>
      </c>
      <c r="D59" s="18" t="s">
        <v>767</v>
      </c>
      <c r="E59" s="17"/>
    </row>
    <row r="60" customFormat="false" ht="16.5" hidden="false" customHeight="true" outlineLevel="0" collapsed="false">
      <c r="B60" s="138"/>
    </row>
    <row r="61" customFormat="false" ht="15" hidden="false" customHeight="true" outlineLevel="0" collapsed="false">
      <c r="B61" s="139" t="s">
        <v>768</v>
      </c>
      <c r="C61" s="136"/>
      <c r="D61" s="106"/>
      <c r="E61" s="106"/>
    </row>
    <row r="62" customFormat="false" ht="31.5" hidden="false" customHeight="true" outlineLevel="0" collapsed="false">
      <c r="B62" s="131" t="s">
        <v>769</v>
      </c>
      <c r="C62" s="18" t="s">
        <v>770</v>
      </c>
      <c r="D62" s="18"/>
      <c r="E62" s="18"/>
    </row>
    <row r="63" customFormat="false" ht="31.5" hidden="false" customHeight="true" outlineLevel="0" collapsed="false">
      <c r="B63" s="131" t="s">
        <v>771</v>
      </c>
      <c r="C63" s="18" t="s">
        <v>772</v>
      </c>
      <c r="D63" s="18"/>
      <c r="E63" s="18"/>
    </row>
    <row r="64" customFormat="false" ht="18" hidden="false" customHeight="true" outlineLevel="0" collapsed="false">
      <c r="B64" s="131" t="s">
        <v>773</v>
      </c>
      <c r="C64" s="18" t="s">
        <v>774</v>
      </c>
      <c r="D64" s="18"/>
      <c r="E64" s="18"/>
    </row>
    <row r="65" customFormat="false" ht="18" hidden="false" customHeight="true" outlineLevel="0" collapsed="false">
      <c r="B65" s="131" t="s">
        <v>775</v>
      </c>
      <c r="C65" s="18" t="s">
        <v>776</v>
      </c>
      <c r="D65" s="18"/>
      <c r="E65" s="18"/>
    </row>
    <row r="66" customFormat="false" ht="31.5" hidden="false" customHeight="true" outlineLevel="0" collapsed="false">
      <c r="B66" s="131" t="s">
        <v>777</v>
      </c>
      <c r="C66" s="18" t="s">
        <v>778</v>
      </c>
      <c r="D66" s="18"/>
      <c r="E66" s="18"/>
    </row>
    <row r="67" customFormat="false" ht="18" hidden="false" customHeight="true" outlineLevel="0" collapsed="false">
      <c r="B67" s="130" t="s">
        <v>779</v>
      </c>
      <c r="C67" s="18" t="s">
        <v>780</v>
      </c>
      <c r="D67" s="18"/>
      <c r="E67" s="18"/>
    </row>
    <row r="68" customFormat="false" ht="31.5" hidden="false" customHeight="true" outlineLevel="0" collapsed="false">
      <c r="B68" s="130" t="s">
        <v>781</v>
      </c>
      <c r="C68" s="18" t="s">
        <v>782</v>
      </c>
      <c r="D68" s="18"/>
      <c r="E68" s="18"/>
    </row>
  </sheetData>
  <mergeCells count="7">
    <mergeCell ref="C62:E62"/>
    <mergeCell ref="C63:E63"/>
    <mergeCell ref="C64:E64"/>
    <mergeCell ref="C65:E65"/>
    <mergeCell ref="C66:E66"/>
    <mergeCell ref="C67:E67"/>
    <mergeCell ref="C68:E6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F30" activeCellId="0" sqref="F30"/>
    </sheetView>
  </sheetViews>
  <sheetFormatPr defaultColWidth="8.5703125" defaultRowHeight="15" zeroHeight="false" outlineLevelRow="0" outlineLevelCol="0"/>
  <cols>
    <col collapsed="false" customWidth="true" hidden="false" outlineLevel="0" max="1" min="1" style="55" width="5"/>
    <col collapsed="false" customWidth="true" hidden="false" outlineLevel="0" max="2" min="2" style="55" width="12"/>
    <col collapsed="false" customWidth="true" hidden="false" outlineLevel="0" max="3" min="3" style="55" width="11"/>
    <col collapsed="false" customWidth="true" hidden="false" outlineLevel="0" max="4" min="4" style="55" width="20"/>
    <col collapsed="false" customWidth="true" hidden="false" outlineLevel="0" max="5" min="5" style="55" width="6"/>
    <col collapsed="false" customWidth="true" hidden="false" outlineLevel="0" max="6" min="6" style="55" width="46"/>
    <col collapsed="false" customWidth="true" hidden="false" outlineLevel="0" max="7" min="7" style="55" width="7"/>
    <col collapsed="false" customWidth="true" hidden="false" outlineLevel="0" max="8" min="8" style="55" width="11"/>
    <col collapsed="false" customWidth="true" hidden="false" outlineLevel="0" max="9" min="9" style="55" width="13"/>
    <col collapsed="false" customWidth="true" hidden="false" outlineLevel="0" max="10" min="10" style="55" width="16"/>
    <col collapsed="false" customWidth="true" hidden="false" outlineLevel="0" max="11" min="11" style="55" width="36"/>
    <col collapsed="false" customWidth="true" hidden="false" outlineLevel="0" max="12" min="12" style="55" width="11"/>
    <col collapsed="false" customWidth="true" hidden="false" outlineLevel="0" max="13" min="13" style="55" width="18"/>
    <col collapsed="false" customWidth="true" hidden="false" outlineLevel="0" max="14" min="14" style="55" width="17"/>
    <col collapsed="false" customWidth="true" hidden="false" outlineLevel="0" max="16" min="15" style="55" width="7"/>
    <col collapsed="false" customWidth="true" hidden="false" outlineLevel="0" max="17" min="17" style="55" width="34"/>
    <col collapsed="false" customWidth="true" hidden="false" outlineLevel="0" max="18" min="18" style="55" width="11"/>
    <col collapsed="false" customWidth="true" hidden="false" outlineLevel="0" max="19" min="19" style="55" width="10"/>
    <col collapsed="false" customWidth="true" hidden="false" outlineLevel="0" max="20" min="20" style="55" width="12"/>
    <col collapsed="false" customWidth="true" hidden="false" outlineLevel="0" max="22" min="21" style="55" width="9"/>
    <col collapsed="false" customWidth="true" hidden="false" outlineLevel="0" max="23" min="23" style="55" width="10"/>
    <col collapsed="false" customWidth="true" hidden="false" outlineLevel="0" max="24" min="24" style="55" width="9"/>
    <col collapsed="false" customWidth="true" hidden="false" outlineLevel="0" max="25" min="25" style="55" width="10"/>
    <col collapsed="false" customWidth="true" hidden="false" outlineLevel="0" max="26" min="26" style="55" width="26"/>
    <col collapsed="false" customWidth="true" hidden="false" outlineLevel="0" max="27" min="27" style="55" width="18"/>
  </cols>
  <sheetData>
    <row r="1" customFormat="false" ht="21" hidden="false" customHeight="true" outlineLevel="0" collapsed="false">
      <c r="A1" s="69" t="s">
        <v>783</v>
      </c>
    </row>
    <row r="2" customFormat="false" ht="15" hidden="false" customHeight="true" outlineLevel="0" collapsed="false">
      <c r="A2" s="71" t="s">
        <v>784</v>
      </c>
    </row>
    <row r="4" customFormat="false" ht="33.75" hidden="false" customHeight="true" outlineLevel="0" collapsed="false">
      <c r="A4" s="73" t="s">
        <v>130</v>
      </c>
      <c r="B4" s="74" t="s">
        <v>716</v>
      </c>
      <c r="C4" s="74" t="s">
        <v>716</v>
      </c>
      <c r="D4" s="74" t="s">
        <v>716</v>
      </c>
      <c r="E4" s="74" t="s">
        <v>716</v>
      </c>
      <c r="F4" s="74" t="s">
        <v>716</v>
      </c>
      <c r="G4" s="74" t="s">
        <v>716</v>
      </c>
      <c r="H4" s="74" t="s">
        <v>716</v>
      </c>
      <c r="I4" s="75" t="s">
        <v>132</v>
      </c>
      <c r="J4" s="75" t="s">
        <v>132</v>
      </c>
      <c r="K4" s="75" t="s">
        <v>132</v>
      </c>
      <c r="L4" s="75" t="s">
        <v>132</v>
      </c>
      <c r="M4" s="75" t="s">
        <v>132</v>
      </c>
      <c r="N4" s="76" t="s">
        <v>133</v>
      </c>
      <c r="O4" s="76" t="s">
        <v>133</v>
      </c>
      <c r="P4" s="76" t="s">
        <v>133</v>
      </c>
      <c r="Q4" s="76" t="s">
        <v>133</v>
      </c>
      <c r="R4" s="76" t="s">
        <v>133</v>
      </c>
      <c r="S4" s="76" t="s">
        <v>133</v>
      </c>
      <c r="T4" s="76" t="s">
        <v>133</v>
      </c>
      <c r="U4" s="78" t="s">
        <v>135</v>
      </c>
      <c r="V4" s="73" t="s">
        <v>130</v>
      </c>
      <c r="W4" s="73" t="s">
        <v>130</v>
      </c>
      <c r="X4" s="78" t="s">
        <v>135</v>
      </c>
      <c r="Y4" s="78" t="s">
        <v>135</v>
      </c>
      <c r="Z4" s="78" t="s">
        <v>135</v>
      </c>
      <c r="AA4" s="78" t="s">
        <v>135</v>
      </c>
    </row>
    <row r="5" customFormat="false" ht="48" hidden="false" customHeight="true" outlineLevel="0" collapsed="false">
      <c r="A5" s="79" t="s">
        <v>104</v>
      </c>
      <c r="B5" s="80" t="s">
        <v>136</v>
      </c>
      <c r="C5" s="80" t="s">
        <v>137</v>
      </c>
      <c r="D5" s="80" t="s">
        <v>138</v>
      </c>
      <c r="E5" s="80" t="s">
        <v>139</v>
      </c>
      <c r="F5" s="80" t="s">
        <v>140</v>
      </c>
      <c r="G5" s="80" t="s">
        <v>141</v>
      </c>
      <c r="H5" s="80" t="s">
        <v>785</v>
      </c>
      <c r="I5" s="81" t="s">
        <v>142</v>
      </c>
      <c r="J5" s="81" t="s">
        <v>143</v>
      </c>
      <c r="K5" s="82" t="s">
        <v>144</v>
      </c>
      <c r="L5" s="81" t="s">
        <v>145</v>
      </c>
      <c r="M5" s="81" t="s">
        <v>146</v>
      </c>
      <c r="N5" s="83" t="s">
        <v>147</v>
      </c>
      <c r="O5" s="83" t="s">
        <v>148</v>
      </c>
      <c r="P5" s="83" t="s">
        <v>149</v>
      </c>
      <c r="Q5" s="83" t="s">
        <v>150</v>
      </c>
      <c r="R5" s="140" t="s">
        <v>153</v>
      </c>
      <c r="S5" s="83" t="s">
        <v>154</v>
      </c>
      <c r="T5" s="83" t="s">
        <v>155</v>
      </c>
      <c r="U5" s="85" t="s">
        <v>786</v>
      </c>
      <c r="V5" s="86" t="s">
        <v>157</v>
      </c>
      <c r="W5" s="79" t="s">
        <v>158</v>
      </c>
      <c r="X5" s="85" t="s">
        <v>159</v>
      </c>
      <c r="Y5" s="85" t="s">
        <v>160</v>
      </c>
      <c r="Z5" s="87" t="s">
        <v>161</v>
      </c>
      <c r="AA5" s="85" t="s">
        <v>42</v>
      </c>
    </row>
    <row r="6" customFormat="false" ht="39" hidden="false" customHeight="true" outlineLevel="0" collapsed="false">
      <c r="A6" s="88" t="n">
        <v>1</v>
      </c>
      <c r="B6" s="89" t="s">
        <v>162</v>
      </c>
      <c r="C6" s="17" t="s">
        <v>177</v>
      </c>
      <c r="D6" s="18" t="s">
        <v>787</v>
      </c>
      <c r="E6" s="89" t="n">
        <v>1</v>
      </c>
      <c r="F6" s="18" t="s">
        <v>788</v>
      </c>
      <c r="G6" s="89" t="s">
        <v>789</v>
      </c>
      <c r="H6" s="89" t="n">
        <v>5.5</v>
      </c>
      <c r="I6" s="18" t="s">
        <v>790</v>
      </c>
      <c r="J6" s="141" t="s">
        <v>791</v>
      </c>
      <c r="K6" s="17" t="s">
        <v>792</v>
      </c>
      <c r="L6" s="89"/>
      <c r="M6" s="18" t="s">
        <v>793</v>
      </c>
      <c r="N6" s="88" t="s">
        <v>794</v>
      </c>
      <c r="O6" s="88" t="s">
        <v>795</v>
      </c>
      <c r="P6" s="89" t="s">
        <v>33</v>
      </c>
      <c r="Q6" s="18" t="s">
        <v>796</v>
      </c>
      <c r="R6" s="142"/>
      <c r="S6" s="89"/>
      <c r="T6" s="89" t="s">
        <v>797</v>
      </c>
      <c r="U6" s="89"/>
      <c r="V6" s="95" t="n">
        <f aca="false">SUM(L6,R6,S6,U6)</f>
        <v>0</v>
      </c>
      <c r="W6" s="100" t="n">
        <f aca="false">IF(H6="","",V6-H6)</f>
        <v>-5.5</v>
      </c>
      <c r="X6" s="17"/>
      <c r="Y6" s="17"/>
      <c r="Z6" s="17"/>
      <c r="AA6" s="17"/>
    </row>
    <row r="7" customFormat="false" ht="39" hidden="false" customHeight="true" outlineLevel="0" collapsed="false">
      <c r="A7" s="89" t="n">
        <v>2</v>
      </c>
      <c r="B7" s="89" t="s">
        <v>162</v>
      </c>
      <c r="C7" s="17" t="s">
        <v>177</v>
      </c>
      <c r="D7" s="18" t="s">
        <v>787</v>
      </c>
      <c r="E7" s="89" t="n">
        <v>2</v>
      </c>
      <c r="F7" s="18" t="s">
        <v>798</v>
      </c>
      <c r="G7" s="89" t="s">
        <v>789</v>
      </c>
      <c r="H7" s="89"/>
      <c r="I7" s="18" t="s">
        <v>790</v>
      </c>
      <c r="J7" s="141" t="s">
        <v>791</v>
      </c>
      <c r="K7" s="18" t="s">
        <v>799</v>
      </c>
      <c r="L7" s="89"/>
      <c r="M7" s="18" t="s">
        <v>793</v>
      </c>
      <c r="N7" s="88" t="s">
        <v>800</v>
      </c>
      <c r="O7" s="88" t="s">
        <v>795</v>
      </c>
      <c r="P7" s="89" t="s">
        <v>801</v>
      </c>
      <c r="Q7" s="18" t="s">
        <v>802</v>
      </c>
      <c r="R7" s="142"/>
      <c r="S7" s="89"/>
      <c r="T7" s="89" t="s">
        <v>797</v>
      </c>
      <c r="U7" s="89"/>
      <c r="V7" s="95" t="n">
        <f aca="false">SUM(L7,R7,S7,U7)</f>
        <v>0</v>
      </c>
      <c r="W7" s="100" t="str">
        <f aca="false">IF(H7="","",V7-H7)</f>
        <v/>
      </c>
      <c r="X7" s="17"/>
      <c r="Y7" s="17"/>
      <c r="Z7" s="17"/>
      <c r="AA7" s="17"/>
    </row>
    <row r="8" customFormat="false" ht="39" hidden="false" customHeight="true" outlineLevel="0" collapsed="false">
      <c r="A8" s="89" t="n">
        <v>3</v>
      </c>
      <c r="B8" s="89" t="s">
        <v>162</v>
      </c>
      <c r="C8" s="17" t="s">
        <v>177</v>
      </c>
      <c r="D8" s="18" t="s">
        <v>787</v>
      </c>
      <c r="E8" s="89" t="n">
        <v>3</v>
      </c>
      <c r="F8" s="18" t="s">
        <v>803</v>
      </c>
      <c r="G8" s="89" t="s">
        <v>789</v>
      </c>
      <c r="H8" s="89"/>
      <c r="I8" s="18" t="s">
        <v>804</v>
      </c>
      <c r="J8" s="141" t="s">
        <v>791</v>
      </c>
      <c r="K8" s="17" t="s">
        <v>805</v>
      </c>
      <c r="L8" s="89"/>
      <c r="M8" s="18" t="s">
        <v>793</v>
      </c>
      <c r="N8" s="88" t="s">
        <v>794</v>
      </c>
      <c r="O8" s="88" t="s">
        <v>795</v>
      </c>
      <c r="P8" s="89" t="s">
        <v>33</v>
      </c>
      <c r="Q8" s="18" t="s">
        <v>806</v>
      </c>
      <c r="R8" s="142"/>
      <c r="S8" s="89" t="n">
        <v>0.1</v>
      </c>
      <c r="T8" s="89" t="s">
        <v>797</v>
      </c>
      <c r="U8" s="89"/>
      <c r="V8" s="95" t="n">
        <f aca="false">SUM(L8,R8,S8,U8)</f>
        <v>0.1</v>
      </c>
      <c r="W8" s="100" t="str">
        <f aca="false">IF(H8="","",V8-H8)</f>
        <v/>
      </c>
      <c r="X8" s="17"/>
      <c r="Y8" s="17"/>
      <c r="Z8" s="17"/>
      <c r="AA8" s="17"/>
    </row>
    <row r="9" customFormat="false" ht="24" hidden="false" customHeight="true" outlineLevel="0" collapsed="false">
      <c r="A9" s="89" t="n">
        <v>4</v>
      </c>
      <c r="B9" s="89" t="s">
        <v>162</v>
      </c>
      <c r="C9" s="17" t="s">
        <v>177</v>
      </c>
      <c r="D9" s="18" t="s">
        <v>787</v>
      </c>
      <c r="E9" s="89" t="n">
        <v>4</v>
      </c>
      <c r="F9" s="17" t="s">
        <v>807</v>
      </c>
      <c r="G9" s="89" t="s">
        <v>789</v>
      </c>
      <c r="H9" s="89"/>
      <c r="I9" s="18" t="s">
        <v>790</v>
      </c>
      <c r="J9" s="64" t="s">
        <v>808</v>
      </c>
      <c r="K9" s="18" t="s">
        <v>809</v>
      </c>
      <c r="L9" s="89" t="n">
        <v>1</v>
      </c>
      <c r="M9" s="18" t="s">
        <v>810</v>
      </c>
      <c r="N9" s="88" t="s">
        <v>800</v>
      </c>
      <c r="O9" s="88" t="s">
        <v>795</v>
      </c>
      <c r="P9" s="89" t="s">
        <v>789</v>
      </c>
      <c r="Q9" s="18" t="s">
        <v>811</v>
      </c>
      <c r="R9" s="89"/>
      <c r="S9" s="89"/>
      <c r="T9" s="89" t="s">
        <v>797</v>
      </c>
      <c r="U9" s="89"/>
      <c r="V9" s="95" t="n">
        <f aca="false">SUM(L9,R9,S9,U9)</f>
        <v>1</v>
      </c>
      <c r="W9" s="100" t="str">
        <f aca="false">IF(H9="","",V9-H9)</f>
        <v/>
      </c>
      <c r="X9" s="17"/>
      <c r="Y9" s="17"/>
      <c r="Z9" s="17"/>
      <c r="AA9" s="17"/>
    </row>
    <row r="10" customFormat="false" ht="24" hidden="false" customHeight="true" outlineLevel="0" collapsed="false">
      <c r="A10" s="89" t="n">
        <v>5</v>
      </c>
      <c r="B10" s="89" t="s">
        <v>162</v>
      </c>
      <c r="C10" s="17" t="s">
        <v>195</v>
      </c>
      <c r="D10" s="18" t="s">
        <v>812</v>
      </c>
      <c r="E10" s="89" t="n">
        <v>4</v>
      </c>
      <c r="F10" s="18" t="s">
        <v>813</v>
      </c>
      <c r="G10" s="89" t="s">
        <v>789</v>
      </c>
      <c r="H10" s="89"/>
      <c r="I10" s="18" t="s">
        <v>804</v>
      </c>
      <c r="J10" s="143" t="s">
        <v>814</v>
      </c>
      <c r="K10" s="17" t="s">
        <v>815</v>
      </c>
      <c r="L10" s="89"/>
      <c r="M10" s="18" t="s">
        <v>816</v>
      </c>
      <c r="N10" s="88" t="s">
        <v>817</v>
      </c>
      <c r="O10" s="88" t="s">
        <v>818</v>
      </c>
      <c r="P10" s="89" t="s">
        <v>789</v>
      </c>
      <c r="Q10" s="18" t="s">
        <v>819</v>
      </c>
      <c r="R10" s="89"/>
      <c r="S10" s="89" t="n">
        <v>0.6</v>
      </c>
      <c r="T10" s="89" t="s">
        <v>820</v>
      </c>
      <c r="U10" s="89"/>
      <c r="V10" s="95" t="n">
        <f aca="false">SUM(L10,R10,S10,U10)</f>
        <v>0.6</v>
      </c>
      <c r="W10" s="100" t="str">
        <f aca="false">IF(H10="","",V10-H10)</f>
        <v/>
      </c>
      <c r="X10" s="17"/>
      <c r="Y10" s="17"/>
      <c r="Z10" s="17"/>
      <c r="AA10" s="17"/>
    </row>
    <row r="11" customFormat="false" ht="24" hidden="false" customHeight="true" outlineLevel="0" collapsed="false">
      <c r="A11" s="89" t="n">
        <v>6</v>
      </c>
      <c r="B11" s="89" t="s">
        <v>162</v>
      </c>
      <c r="C11" s="17" t="s">
        <v>195</v>
      </c>
      <c r="D11" s="18" t="s">
        <v>812</v>
      </c>
      <c r="E11" s="89" t="n">
        <v>5</v>
      </c>
      <c r="F11" s="18" t="s">
        <v>821</v>
      </c>
      <c r="G11" s="89" t="s">
        <v>789</v>
      </c>
      <c r="H11" s="89"/>
      <c r="I11" s="18" t="s">
        <v>804</v>
      </c>
      <c r="J11" s="141" t="s">
        <v>791</v>
      </c>
      <c r="K11" s="18" t="s">
        <v>822</v>
      </c>
      <c r="L11" s="89"/>
      <c r="M11" s="18" t="s">
        <v>793</v>
      </c>
      <c r="N11" s="88" t="s">
        <v>794</v>
      </c>
      <c r="O11" s="88" t="s">
        <v>795</v>
      </c>
      <c r="P11" s="89" t="s">
        <v>33</v>
      </c>
      <c r="Q11" s="18" t="s">
        <v>823</v>
      </c>
      <c r="R11" s="89"/>
      <c r="S11" s="89" t="n">
        <v>0.1</v>
      </c>
      <c r="T11" s="89" t="s">
        <v>820</v>
      </c>
      <c r="U11" s="89"/>
      <c r="V11" s="95" t="n">
        <f aca="false">SUM(L11,R11,S11,U11)</f>
        <v>0.1</v>
      </c>
      <c r="W11" s="100" t="str">
        <f aca="false">IF(H11="","",V11-H11)</f>
        <v/>
      </c>
      <c r="X11" s="17"/>
      <c r="Y11" s="17"/>
      <c r="Z11" s="17"/>
      <c r="AA11" s="17"/>
    </row>
    <row r="12" customFormat="false" ht="24" hidden="false" customHeight="true" outlineLevel="0" collapsed="false">
      <c r="A12" s="89" t="n">
        <v>7</v>
      </c>
      <c r="B12" s="89" t="s">
        <v>162</v>
      </c>
      <c r="C12" s="17" t="s">
        <v>170</v>
      </c>
      <c r="D12" s="18" t="s">
        <v>824</v>
      </c>
      <c r="E12" s="89" t="n">
        <v>1</v>
      </c>
      <c r="F12" s="18" t="s">
        <v>825</v>
      </c>
      <c r="G12" s="89" t="s">
        <v>789</v>
      </c>
      <c r="H12" s="89" t="n">
        <v>3</v>
      </c>
      <c r="I12" s="18" t="s">
        <v>804</v>
      </c>
      <c r="J12" s="143" t="s">
        <v>814</v>
      </c>
      <c r="K12" s="18" t="s">
        <v>826</v>
      </c>
      <c r="L12" s="89"/>
      <c r="M12" s="18" t="s">
        <v>816</v>
      </c>
      <c r="N12" s="88" t="s">
        <v>827</v>
      </c>
      <c r="O12" s="88" t="s">
        <v>818</v>
      </c>
      <c r="P12" s="89" t="s">
        <v>789</v>
      </c>
      <c r="Q12" s="18" t="s">
        <v>828</v>
      </c>
      <c r="R12" s="89" t="n">
        <v>0.12</v>
      </c>
      <c r="S12" s="89" t="n">
        <v>0.84</v>
      </c>
      <c r="T12" s="89" t="s">
        <v>829</v>
      </c>
      <c r="U12" s="89"/>
      <c r="V12" s="95" t="n">
        <f aca="false">SUM(L12,R12,S12,U12)</f>
        <v>0.96</v>
      </c>
      <c r="W12" s="100" t="n">
        <f aca="false">IF(H12="","",V12-H12)</f>
        <v>-2.04</v>
      </c>
      <c r="X12" s="17"/>
      <c r="Y12" s="17"/>
      <c r="Z12" s="17"/>
      <c r="AA12" s="17"/>
    </row>
    <row r="14" customFormat="false" ht="15" hidden="false" customHeight="true" outlineLevel="0" collapsed="false">
      <c r="A14" s="144" t="s">
        <v>830</v>
      </c>
    </row>
    <row r="15" customFormat="false" ht="15" hidden="false" customHeight="true" outlineLevel="0" collapsed="false">
      <c r="A15" s="145" t="s">
        <v>831</v>
      </c>
    </row>
    <row r="16" customFormat="false" ht="15" hidden="false" customHeight="true" outlineLevel="0" collapsed="false">
      <c r="A16" s="145" t="s">
        <v>832</v>
      </c>
    </row>
    <row r="17" customFormat="false" ht="15" hidden="false" customHeight="true" outlineLevel="0" collapsed="false">
      <c r="A17" s="145" t="s">
        <v>833</v>
      </c>
    </row>
    <row r="18" customFormat="false" ht="15" hidden="false" customHeight="true" outlineLevel="0" collapsed="false">
      <c r="A18" s="145" t="s">
        <v>834</v>
      </c>
    </row>
    <row r="19" customFormat="false" ht="15" hidden="false" customHeight="true" outlineLevel="0" collapsed="false">
      <c r="A19" s="145" t="s">
        <v>835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6" min="5" style="0" width="60"/>
    <col collapsed="false" customWidth="true" hidden="false" outlineLevel="0" max="7" min="7" style="0" width="45"/>
  </cols>
  <sheetData>
    <row r="1" customFormat="false" ht="16.4" hidden="false" customHeight="false" outlineLevel="0" collapsed="false">
      <c r="A1" s="146" t="s">
        <v>836</v>
      </c>
    </row>
    <row r="2" customFormat="false" ht="15" hidden="false" customHeight="false" outlineLevel="0" collapsed="false">
      <c r="A2" s="147" t="s">
        <v>837</v>
      </c>
    </row>
    <row r="3" customFormat="false" ht="15" hidden="false" customHeight="false" outlineLevel="0" collapsed="false">
      <c r="A3" s="147" t="s">
        <v>838</v>
      </c>
    </row>
    <row r="5" customFormat="false" ht="15" hidden="false" customHeight="false" outlineLevel="0" collapsed="false">
      <c r="A5" s="148" t="s">
        <v>839</v>
      </c>
      <c r="B5" s="149" t="s">
        <v>840</v>
      </c>
      <c r="C5" s="149" t="s">
        <v>841</v>
      </c>
      <c r="D5" s="149" t="s">
        <v>105</v>
      </c>
      <c r="E5" s="148" t="s">
        <v>842</v>
      </c>
      <c r="F5" s="149" t="s">
        <v>843</v>
      </c>
      <c r="G5" s="149" t="s">
        <v>42</v>
      </c>
    </row>
    <row r="6" customFormat="false" ht="228.35" hidden="false" customHeight="false" outlineLevel="0" collapsed="false">
      <c r="A6" s="150" t="n">
        <v>1</v>
      </c>
      <c r="B6" s="151" t="s">
        <v>844</v>
      </c>
      <c r="C6" s="150" t="s">
        <v>845</v>
      </c>
      <c r="D6" s="151" t="s">
        <v>846</v>
      </c>
      <c r="E6" s="151" t="s">
        <v>847</v>
      </c>
      <c r="F6" s="150" t="s">
        <v>848</v>
      </c>
      <c r="G6" s="151" t="s">
        <v>849</v>
      </c>
    </row>
    <row r="7" customFormat="false" ht="37.3" hidden="false" customHeight="false" outlineLevel="0" collapsed="false">
      <c r="A7" s="151" t="n">
        <v>2</v>
      </c>
      <c r="B7" s="151" t="s">
        <v>844</v>
      </c>
      <c r="C7" s="150" t="s">
        <v>850</v>
      </c>
      <c r="D7" s="151" t="s">
        <v>851</v>
      </c>
      <c r="E7" s="150" t="s">
        <v>852</v>
      </c>
      <c r="F7" s="150" t="s">
        <v>853</v>
      </c>
      <c r="G7" s="151" t="s">
        <v>849</v>
      </c>
    </row>
    <row r="8" customFormat="false" ht="37.3" hidden="false" customHeight="false" outlineLevel="0" collapsed="false">
      <c r="A8" s="151" t="n">
        <v>3</v>
      </c>
      <c r="B8" s="151" t="s">
        <v>844</v>
      </c>
      <c r="C8" s="150" t="s">
        <v>854</v>
      </c>
      <c r="D8" s="151" t="s">
        <v>846</v>
      </c>
      <c r="E8" s="151" t="s">
        <v>377</v>
      </c>
      <c r="F8" s="150" t="s">
        <v>855</v>
      </c>
      <c r="G8" s="151" t="s">
        <v>856</v>
      </c>
    </row>
    <row r="9" customFormat="false" ht="37.3" hidden="false" customHeight="false" outlineLevel="0" collapsed="false">
      <c r="A9" s="151" t="n">
        <v>4</v>
      </c>
      <c r="B9" s="151" t="s">
        <v>844</v>
      </c>
      <c r="C9" s="150" t="s">
        <v>857</v>
      </c>
      <c r="D9" s="151" t="s">
        <v>846</v>
      </c>
      <c r="E9" s="151" t="s">
        <v>858</v>
      </c>
      <c r="F9" s="150" t="s">
        <v>859</v>
      </c>
      <c r="G9" s="151" t="s">
        <v>856</v>
      </c>
    </row>
    <row r="10" customFormat="false" ht="37.3" hidden="false" customHeight="false" outlineLevel="0" collapsed="false">
      <c r="A10" s="151" t="n">
        <v>5</v>
      </c>
      <c r="B10" s="151" t="s">
        <v>844</v>
      </c>
      <c r="C10" s="150" t="s">
        <v>860</v>
      </c>
      <c r="D10" s="151" t="s">
        <v>846</v>
      </c>
      <c r="E10" s="151" t="s">
        <v>861</v>
      </c>
      <c r="F10" s="150" t="s">
        <v>862</v>
      </c>
      <c r="G10" s="151" t="s">
        <v>856</v>
      </c>
    </row>
    <row r="11" customFormat="false" ht="37.3" hidden="false" customHeight="false" outlineLevel="0" collapsed="false">
      <c r="A11" s="151" t="n">
        <v>6</v>
      </c>
      <c r="B11" s="151" t="s">
        <v>844</v>
      </c>
      <c r="C11" s="150" t="s">
        <v>863</v>
      </c>
      <c r="D11" s="151" t="s">
        <v>846</v>
      </c>
      <c r="E11" s="151" t="s">
        <v>380</v>
      </c>
      <c r="F11" s="150" t="s">
        <v>864</v>
      </c>
      <c r="G11" s="151" t="s">
        <v>856</v>
      </c>
    </row>
    <row r="12" customFormat="false" ht="37.3" hidden="false" customHeight="false" outlineLevel="0" collapsed="false">
      <c r="A12" s="151" t="n">
        <v>7</v>
      </c>
      <c r="B12" s="151" t="s">
        <v>844</v>
      </c>
      <c r="C12" s="150" t="s">
        <v>865</v>
      </c>
      <c r="D12" s="151" t="s">
        <v>851</v>
      </c>
      <c r="E12" s="150" t="s">
        <v>852</v>
      </c>
      <c r="F12" s="150" t="s">
        <v>853</v>
      </c>
      <c r="G12" s="151" t="s">
        <v>856</v>
      </c>
    </row>
    <row r="13" customFormat="false" ht="120.85" hidden="false" customHeight="false" outlineLevel="0" collapsed="false">
      <c r="A13" s="151" t="n">
        <v>8</v>
      </c>
      <c r="B13" s="151" t="s">
        <v>844</v>
      </c>
      <c r="C13" s="150" t="s">
        <v>866</v>
      </c>
      <c r="D13" s="151" t="s">
        <v>846</v>
      </c>
      <c r="E13" s="151" t="s">
        <v>867</v>
      </c>
      <c r="F13" s="150" t="s">
        <v>868</v>
      </c>
      <c r="G13" s="151" t="s">
        <v>869</v>
      </c>
    </row>
    <row r="14" customFormat="false" ht="25.35" hidden="false" customHeight="false" outlineLevel="0" collapsed="false">
      <c r="A14" s="151" t="n">
        <v>9</v>
      </c>
      <c r="B14" s="151" t="s">
        <v>844</v>
      </c>
      <c r="C14" s="150" t="s">
        <v>870</v>
      </c>
      <c r="D14" s="151" t="s">
        <v>851</v>
      </c>
      <c r="E14" s="150" t="s">
        <v>871</v>
      </c>
      <c r="F14" s="150" t="s">
        <v>872</v>
      </c>
      <c r="G14" s="151" t="s">
        <v>869</v>
      </c>
    </row>
    <row r="15" customFormat="false" ht="324.6" hidden="false" customHeight="false" outlineLevel="0" collapsed="false">
      <c r="A15" s="151" t="n">
        <v>10</v>
      </c>
      <c r="B15" s="151" t="s">
        <v>844</v>
      </c>
      <c r="C15" s="150" t="s">
        <v>873</v>
      </c>
      <c r="D15" s="151" t="s">
        <v>846</v>
      </c>
      <c r="E15" s="151" t="s">
        <v>874</v>
      </c>
      <c r="F15" s="150" t="s">
        <v>875</v>
      </c>
      <c r="G15" s="151" t="s">
        <v>876</v>
      </c>
    </row>
    <row r="16" customFormat="false" ht="49.25" hidden="false" customHeight="false" outlineLevel="0" collapsed="false">
      <c r="A16" s="151" t="n">
        <v>11</v>
      </c>
      <c r="B16" s="151" t="s">
        <v>844</v>
      </c>
      <c r="C16" s="150" t="s">
        <v>877</v>
      </c>
      <c r="D16" s="151" t="s">
        <v>851</v>
      </c>
      <c r="E16" s="150" t="s">
        <v>871</v>
      </c>
      <c r="F16" s="150" t="s">
        <v>872</v>
      </c>
      <c r="G16" s="151" t="s">
        <v>876</v>
      </c>
    </row>
    <row r="17" customFormat="false" ht="49.25" hidden="false" customHeight="false" outlineLevel="0" collapsed="false">
      <c r="A17" s="151" t="n">
        <v>12</v>
      </c>
      <c r="B17" s="151" t="s">
        <v>844</v>
      </c>
      <c r="C17" s="150" t="s">
        <v>878</v>
      </c>
      <c r="D17" s="151" t="s">
        <v>846</v>
      </c>
      <c r="E17" s="151" t="s">
        <v>879</v>
      </c>
      <c r="F17" s="150" t="s">
        <v>880</v>
      </c>
      <c r="G17" s="151" t="s">
        <v>881</v>
      </c>
    </row>
    <row r="18" customFormat="false" ht="37.3" hidden="false" customHeight="false" outlineLevel="0" collapsed="false">
      <c r="A18" s="151" t="n">
        <v>13</v>
      </c>
      <c r="B18" s="151" t="s">
        <v>844</v>
      </c>
      <c r="C18" s="150" t="s">
        <v>882</v>
      </c>
      <c r="D18" s="151" t="s">
        <v>846</v>
      </c>
      <c r="E18" s="151" t="s">
        <v>883</v>
      </c>
      <c r="F18" s="150" t="s">
        <v>884</v>
      </c>
      <c r="G18" s="151" t="s">
        <v>881</v>
      </c>
    </row>
    <row r="19" customFormat="false" ht="37.3" hidden="false" customHeight="false" outlineLevel="0" collapsed="false">
      <c r="A19" s="151" t="n">
        <v>14</v>
      </c>
      <c r="B19" s="151" t="s">
        <v>844</v>
      </c>
      <c r="C19" s="150" t="s">
        <v>885</v>
      </c>
      <c r="D19" s="151" t="s">
        <v>846</v>
      </c>
      <c r="E19" s="151" t="s">
        <v>886</v>
      </c>
      <c r="F19" s="150" t="s">
        <v>887</v>
      </c>
      <c r="G19" s="151" t="s">
        <v>881</v>
      </c>
    </row>
    <row r="20" customFormat="false" ht="37.3" hidden="false" customHeight="false" outlineLevel="0" collapsed="false">
      <c r="A20" s="151" t="n">
        <v>15</v>
      </c>
      <c r="B20" s="151" t="s">
        <v>844</v>
      </c>
      <c r="C20" s="150" t="s">
        <v>888</v>
      </c>
      <c r="D20" s="151" t="s">
        <v>846</v>
      </c>
      <c r="E20" s="151" t="s">
        <v>889</v>
      </c>
      <c r="F20" s="150" t="s">
        <v>890</v>
      </c>
      <c r="G20" s="151" t="s">
        <v>881</v>
      </c>
    </row>
    <row r="21" customFormat="false" ht="37.3" hidden="false" customHeight="false" outlineLevel="0" collapsed="false">
      <c r="A21" s="151" t="n">
        <v>16</v>
      </c>
      <c r="B21" s="151" t="s">
        <v>844</v>
      </c>
      <c r="C21" s="150" t="s">
        <v>891</v>
      </c>
      <c r="D21" s="151" t="s">
        <v>846</v>
      </c>
      <c r="E21" s="151" t="s">
        <v>892</v>
      </c>
      <c r="F21" s="150" t="s">
        <v>893</v>
      </c>
      <c r="G21" s="151" t="s">
        <v>881</v>
      </c>
    </row>
    <row r="22" customFormat="false" ht="37.3" hidden="false" customHeight="false" outlineLevel="0" collapsed="false">
      <c r="A22" s="151" t="n">
        <v>17</v>
      </c>
      <c r="B22" s="151" t="s">
        <v>844</v>
      </c>
      <c r="C22" s="150" t="s">
        <v>894</v>
      </c>
      <c r="D22" s="151" t="s">
        <v>846</v>
      </c>
      <c r="E22" s="151" t="s">
        <v>478</v>
      </c>
      <c r="F22" s="150" t="s">
        <v>895</v>
      </c>
      <c r="G22" s="151" t="s">
        <v>881</v>
      </c>
    </row>
    <row r="23" customFormat="false" ht="37.3" hidden="false" customHeight="false" outlineLevel="0" collapsed="false">
      <c r="A23" s="151" t="n">
        <v>18</v>
      </c>
      <c r="B23" s="151" t="s">
        <v>844</v>
      </c>
      <c r="C23" s="150" t="s">
        <v>896</v>
      </c>
      <c r="D23" s="151" t="s">
        <v>851</v>
      </c>
      <c r="E23" s="150" t="s">
        <v>897</v>
      </c>
      <c r="F23" s="150" t="s">
        <v>898</v>
      </c>
      <c r="G23" s="151" t="s">
        <v>881</v>
      </c>
    </row>
    <row r="24" customFormat="false" ht="49.25" hidden="false" customHeight="false" outlineLevel="0" collapsed="false">
      <c r="A24" s="151" t="n">
        <v>19</v>
      </c>
      <c r="B24" s="151" t="s">
        <v>844</v>
      </c>
      <c r="C24" s="150" t="s">
        <v>899</v>
      </c>
      <c r="D24" s="151" t="s">
        <v>846</v>
      </c>
      <c r="E24" s="151" t="s">
        <v>900</v>
      </c>
      <c r="F24" s="150" t="s">
        <v>901</v>
      </c>
      <c r="G24" s="151" t="s">
        <v>902</v>
      </c>
    </row>
    <row r="25" customFormat="false" ht="49.25" hidden="false" customHeight="false" outlineLevel="0" collapsed="false">
      <c r="A25" s="151" t="n">
        <v>20</v>
      </c>
      <c r="B25" s="151" t="s">
        <v>844</v>
      </c>
      <c r="C25" s="150" t="s">
        <v>903</v>
      </c>
      <c r="D25" s="151" t="s">
        <v>846</v>
      </c>
      <c r="E25" s="151" t="s">
        <v>483</v>
      </c>
      <c r="F25" s="150" t="s">
        <v>904</v>
      </c>
      <c r="G25" s="151" t="s">
        <v>902</v>
      </c>
    </row>
    <row r="26" customFormat="false" ht="49.25" hidden="false" customHeight="false" outlineLevel="0" collapsed="false">
      <c r="A26" s="151" t="n">
        <v>21</v>
      </c>
      <c r="B26" s="151" t="s">
        <v>844</v>
      </c>
      <c r="C26" s="150" t="s">
        <v>905</v>
      </c>
      <c r="D26" s="151" t="s">
        <v>846</v>
      </c>
      <c r="E26" s="151" t="s">
        <v>906</v>
      </c>
      <c r="F26" s="150" t="s">
        <v>907</v>
      </c>
      <c r="G26" s="151" t="s">
        <v>902</v>
      </c>
    </row>
    <row r="27" customFormat="false" ht="61.15" hidden="false" customHeight="false" outlineLevel="0" collapsed="false">
      <c r="A27" s="151" t="n">
        <v>22</v>
      </c>
      <c r="B27" s="151" t="s">
        <v>844</v>
      </c>
      <c r="C27" s="150" t="s">
        <v>908</v>
      </c>
      <c r="D27" s="151" t="s">
        <v>846</v>
      </c>
      <c r="E27" s="151" t="s">
        <v>909</v>
      </c>
      <c r="F27" s="150" t="s">
        <v>910</v>
      </c>
      <c r="G27" s="151" t="s">
        <v>902</v>
      </c>
    </row>
    <row r="28" customFormat="false" ht="49.25" hidden="false" customHeight="false" outlineLevel="0" collapsed="false">
      <c r="A28" s="151" t="n">
        <v>23</v>
      </c>
      <c r="B28" s="151" t="s">
        <v>844</v>
      </c>
      <c r="C28" s="150" t="s">
        <v>911</v>
      </c>
      <c r="D28" s="151" t="s">
        <v>846</v>
      </c>
      <c r="E28" s="151" t="s">
        <v>912</v>
      </c>
      <c r="F28" s="150" t="s">
        <v>913</v>
      </c>
      <c r="G28" s="151" t="s">
        <v>902</v>
      </c>
    </row>
    <row r="29" customFormat="false" ht="49.25" hidden="false" customHeight="false" outlineLevel="0" collapsed="false">
      <c r="A29" s="151" t="n">
        <v>24</v>
      </c>
      <c r="B29" s="151" t="s">
        <v>844</v>
      </c>
      <c r="C29" s="150" t="s">
        <v>914</v>
      </c>
      <c r="D29" s="151" t="s">
        <v>846</v>
      </c>
      <c r="E29" s="151" t="s">
        <v>487</v>
      </c>
      <c r="F29" s="150" t="s">
        <v>913</v>
      </c>
      <c r="G29" s="151" t="s">
        <v>902</v>
      </c>
    </row>
    <row r="30" customFormat="false" ht="49.25" hidden="false" customHeight="false" outlineLevel="0" collapsed="false">
      <c r="A30" s="151" t="n">
        <v>25</v>
      </c>
      <c r="B30" s="151" t="s">
        <v>844</v>
      </c>
      <c r="C30" s="150" t="s">
        <v>915</v>
      </c>
      <c r="D30" s="151" t="s">
        <v>846</v>
      </c>
      <c r="E30" s="151" t="s">
        <v>488</v>
      </c>
      <c r="F30" s="150" t="s">
        <v>913</v>
      </c>
      <c r="G30" s="151" t="s">
        <v>902</v>
      </c>
    </row>
    <row r="31" customFormat="false" ht="49.25" hidden="false" customHeight="false" outlineLevel="0" collapsed="false">
      <c r="A31" s="151" t="n">
        <v>26</v>
      </c>
      <c r="B31" s="151" t="s">
        <v>844</v>
      </c>
      <c r="C31" s="150" t="s">
        <v>916</v>
      </c>
      <c r="D31" s="151" t="s">
        <v>851</v>
      </c>
      <c r="E31" s="150" t="s">
        <v>917</v>
      </c>
      <c r="F31" s="150" t="s">
        <v>852</v>
      </c>
      <c r="G31" s="151" t="s">
        <v>902</v>
      </c>
    </row>
    <row r="32" customFormat="false" ht="24.6" hidden="false" customHeight="false" outlineLevel="0" collapsed="false">
      <c r="A32" s="151" t="n">
        <v>27</v>
      </c>
      <c r="B32" s="151" t="s">
        <v>918</v>
      </c>
      <c r="C32" s="150" t="s">
        <v>919</v>
      </c>
      <c r="D32" s="151" t="s">
        <v>920</v>
      </c>
      <c r="E32" s="150" t="s">
        <v>921</v>
      </c>
      <c r="F32" s="150" t="s">
        <v>922</v>
      </c>
      <c r="G32" s="151"/>
    </row>
    <row r="33" customFormat="false" ht="15" hidden="false" customHeight="false" outlineLevel="0" collapsed="false">
      <c r="A33" s="151" t="n">
        <v>28</v>
      </c>
      <c r="B33" s="151" t="s">
        <v>918</v>
      </c>
      <c r="C33" s="150" t="s">
        <v>923</v>
      </c>
      <c r="D33" s="151" t="s">
        <v>920</v>
      </c>
      <c r="E33" s="150" t="s">
        <v>924</v>
      </c>
      <c r="F33" s="151" t="s">
        <v>925</v>
      </c>
      <c r="G33" s="151"/>
    </row>
    <row r="34" customFormat="false" ht="15" hidden="false" customHeight="false" outlineLevel="0" collapsed="false">
      <c r="A34" s="151" t="n">
        <v>29</v>
      </c>
      <c r="B34" s="151" t="s">
        <v>918</v>
      </c>
      <c r="C34" s="150" t="s">
        <v>926</v>
      </c>
      <c r="D34" s="151" t="s">
        <v>920</v>
      </c>
      <c r="E34" s="151" t="s">
        <v>927</v>
      </c>
      <c r="F34" s="151" t="s">
        <v>928</v>
      </c>
      <c r="G34" s="151"/>
    </row>
    <row r="35" customFormat="false" ht="25.35" hidden="false" customHeight="false" outlineLevel="0" collapsed="false">
      <c r="A35" s="151" t="n">
        <v>30</v>
      </c>
      <c r="B35" s="151" t="s">
        <v>918</v>
      </c>
      <c r="C35" s="150" t="s">
        <v>929</v>
      </c>
      <c r="D35" s="151" t="s">
        <v>920</v>
      </c>
      <c r="E35" s="151" t="s">
        <v>930</v>
      </c>
      <c r="F35" s="151" t="s">
        <v>931</v>
      </c>
      <c r="G35" s="151"/>
    </row>
    <row r="36" customFormat="false" ht="25.35" hidden="false" customHeight="false" outlineLevel="0" collapsed="false">
      <c r="A36" s="151" t="n">
        <v>31</v>
      </c>
      <c r="B36" s="151" t="s">
        <v>918</v>
      </c>
      <c r="C36" s="150" t="s">
        <v>932</v>
      </c>
      <c r="D36" s="151" t="s">
        <v>920</v>
      </c>
      <c r="E36" s="151" t="s">
        <v>933</v>
      </c>
      <c r="F36" s="151" t="s">
        <v>934</v>
      </c>
      <c r="G36" s="151"/>
    </row>
    <row r="37" customFormat="false" ht="15" hidden="false" customHeight="false" outlineLevel="0" collapsed="false">
      <c r="A37" s="151" t="n">
        <v>32</v>
      </c>
      <c r="B37" s="151" t="s">
        <v>918</v>
      </c>
      <c r="C37" s="150" t="s">
        <v>935</v>
      </c>
      <c r="D37" s="151" t="s">
        <v>920</v>
      </c>
      <c r="E37" s="150" t="s">
        <v>936</v>
      </c>
      <c r="F37" s="150" t="s">
        <v>937</v>
      </c>
      <c r="G37" s="151"/>
    </row>
    <row r="38" customFormat="false" ht="15" hidden="false" customHeight="false" outlineLevel="0" collapsed="false">
      <c r="A38" s="151" t="n">
        <v>33</v>
      </c>
      <c r="B38" s="151" t="s">
        <v>918</v>
      </c>
      <c r="C38" s="150" t="s">
        <v>938</v>
      </c>
      <c r="D38" s="151" t="s">
        <v>920</v>
      </c>
      <c r="E38" s="151" t="s">
        <v>939</v>
      </c>
      <c r="F38" s="151" t="s">
        <v>940</v>
      </c>
      <c r="G38" s="151"/>
    </row>
    <row r="39" customFormat="false" ht="15" hidden="false" customHeight="false" outlineLevel="0" collapsed="false">
      <c r="A39" s="151" t="n">
        <v>34</v>
      </c>
      <c r="B39" s="151" t="s">
        <v>918</v>
      </c>
      <c r="C39" s="150" t="s">
        <v>941</v>
      </c>
      <c r="D39" s="151" t="s">
        <v>920</v>
      </c>
      <c r="E39" s="150" t="s">
        <v>16</v>
      </c>
      <c r="F39" s="150" t="s">
        <v>942</v>
      </c>
      <c r="G39" s="151"/>
    </row>
    <row r="40" customFormat="false" ht="15" hidden="false" customHeight="false" outlineLevel="0" collapsed="false">
      <c r="A40" s="151" t="n">
        <v>35</v>
      </c>
      <c r="B40" s="151" t="s">
        <v>918</v>
      </c>
      <c r="C40" s="150" t="s">
        <v>943</v>
      </c>
      <c r="D40" s="151" t="s">
        <v>920</v>
      </c>
      <c r="E40" s="151" t="s">
        <v>18</v>
      </c>
      <c r="F40" s="150" t="s">
        <v>944</v>
      </c>
      <c r="G40" s="151"/>
    </row>
    <row r="41" customFormat="false" ht="15" hidden="false" customHeight="false" outlineLevel="0" collapsed="false">
      <c r="A41" s="151" t="n">
        <v>36</v>
      </c>
      <c r="B41" s="151" t="s">
        <v>918</v>
      </c>
      <c r="C41" s="150" t="s">
        <v>945</v>
      </c>
      <c r="D41" s="151" t="s">
        <v>920</v>
      </c>
      <c r="E41" s="150" t="s">
        <v>20</v>
      </c>
      <c r="F41" s="150" t="s">
        <v>944</v>
      </c>
      <c r="G41" s="151"/>
    </row>
    <row r="42" customFormat="false" ht="15" hidden="false" customHeight="false" outlineLevel="0" collapsed="false">
      <c r="A42" s="151" t="n">
        <v>37</v>
      </c>
      <c r="B42" s="151" t="s">
        <v>918</v>
      </c>
      <c r="C42" s="150" t="s">
        <v>946</v>
      </c>
      <c r="D42" s="151" t="s">
        <v>920</v>
      </c>
      <c r="E42" s="150" t="s">
        <v>20</v>
      </c>
      <c r="F42" s="150" t="s">
        <v>944</v>
      </c>
      <c r="G42" s="151"/>
    </row>
    <row r="43" customFormat="false" ht="25.35" hidden="false" customHeight="false" outlineLevel="0" collapsed="false">
      <c r="A43" s="151" t="n">
        <v>38</v>
      </c>
      <c r="B43" s="151" t="s">
        <v>918</v>
      </c>
      <c r="C43" s="150" t="s">
        <v>947</v>
      </c>
      <c r="D43" s="151" t="s">
        <v>920</v>
      </c>
      <c r="E43" s="151" t="s">
        <v>948</v>
      </c>
      <c r="F43" s="151" t="s">
        <v>949</v>
      </c>
      <c r="G43" s="151"/>
    </row>
    <row r="44" customFormat="false" ht="15" hidden="false" customHeight="false" outlineLevel="0" collapsed="false">
      <c r="A44" s="151" t="n">
        <v>39</v>
      </c>
      <c r="B44" s="151" t="s">
        <v>918</v>
      </c>
      <c r="C44" s="150" t="s">
        <v>950</v>
      </c>
      <c r="D44" s="151" t="s">
        <v>920</v>
      </c>
      <c r="E44" s="151" t="s">
        <v>951</v>
      </c>
      <c r="F44" s="150" t="s">
        <v>944</v>
      </c>
      <c r="G44" s="151"/>
    </row>
    <row r="45" customFormat="false" ht="15" hidden="false" customHeight="false" outlineLevel="0" collapsed="false">
      <c r="A45" s="151" t="n">
        <v>40</v>
      </c>
      <c r="B45" s="151" t="s">
        <v>918</v>
      </c>
      <c r="C45" s="150" t="s">
        <v>952</v>
      </c>
      <c r="D45" s="151" t="s">
        <v>920</v>
      </c>
      <c r="E45" s="150" t="s">
        <v>953</v>
      </c>
      <c r="F45" s="151"/>
      <c r="G45" s="151"/>
    </row>
    <row r="46" customFormat="false" ht="15" hidden="false" customHeight="false" outlineLevel="0" collapsed="false">
      <c r="A46" s="151" t="n">
        <v>41</v>
      </c>
      <c r="B46" s="151" t="s">
        <v>918</v>
      </c>
      <c r="C46" s="150" t="s">
        <v>954</v>
      </c>
      <c r="D46" s="151" t="s">
        <v>920</v>
      </c>
      <c r="E46" s="151"/>
      <c r="F46" s="150" t="s">
        <v>955</v>
      </c>
      <c r="G46" s="151"/>
    </row>
    <row r="47" customFormat="false" ht="15" hidden="false" customHeight="false" outlineLevel="0" collapsed="false">
      <c r="A47" s="151" t="n">
        <v>42</v>
      </c>
      <c r="B47" s="151" t="s">
        <v>918</v>
      </c>
      <c r="C47" s="150" t="s">
        <v>956</v>
      </c>
      <c r="D47" s="151" t="s">
        <v>920</v>
      </c>
      <c r="E47" s="150" t="s">
        <v>957</v>
      </c>
      <c r="F47" s="151"/>
      <c r="G47" s="151"/>
    </row>
    <row r="48" customFormat="false" ht="15" hidden="false" customHeight="false" outlineLevel="0" collapsed="false">
      <c r="A48" s="151" t="n">
        <v>43</v>
      </c>
      <c r="B48" s="151" t="s">
        <v>918</v>
      </c>
      <c r="C48" s="150" t="s">
        <v>958</v>
      </c>
      <c r="D48" s="151" t="s">
        <v>920</v>
      </c>
      <c r="E48" s="151" t="s">
        <v>33</v>
      </c>
      <c r="F48" s="151"/>
      <c r="G48" s="151"/>
    </row>
    <row r="49" customFormat="false" ht="25.35" hidden="false" customHeight="false" outlineLevel="0" collapsed="false">
      <c r="A49" s="151" t="n">
        <v>44</v>
      </c>
      <c r="B49" s="151" t="s">
        <v>918</v>
      </c>
      <c r="C49" s="150" t="s">
        <v>959</v>
      </c>
      <c r="D49" s="151" t="s">
        <v>920</v>
      </c>
      <c r="E49" s="151" t="s">
        <v>960</v>
      </c>
      <c r="F49" s="151"/>
      <c r="G49" s="151"/>
    </row>
    <row r="50" customFormat="false" ht="15" hidden="false" customHeight="false" outlineLevel="0" collapsed="false">
      <c r="A50" s="151" t="n">
        <v>45</v>
      </c>
      <c r="B50" s="151" t="s">
        <v>918</v>
      </c>
      <c r="C50" s="150" t="s">
        <v>961</v>
      </c>
      <c r="D50" s="151" t="s">
        <v>920</v>
      </c>
      <c r="E50" s="151"/>
      <c r="F50" s="151" t="s">
        <v>962</v>
      </c>
      <c r="G50" s="151"/>
    </row>
    <row r="51" customFormat="false" ht="25.35" hidden="false" customHeight="false" outlineLevel="0" collapsed="false">
      <c r="A51" s="151" t="n">
        <v>46</v>
      </c>
      <c r="B51" s="151" t="s">
        <v>918</v>
      </c>
      <c r="C51" s="150" t="s">
        <v>963</v>
      </c>
      <c r="D51" s="151" t="s">
        <v>964</v>
      </c>
      <c r="E51" s="151"/>
      <c r="F51" s="150" t="s">
        <v>965</v>
      </c>
      <c r="G51" s="151" t="s">
        <v>966</v>
      </c>
    </row>
    <row r="52" customFormat="false" ht="15" hidden="false" customHeight="false" outlineLevel="0" collapsed="false">
      <c r="A52" s="151" t="n">
        <v>47</v>
      </c>
      <c r="B52" s="151" t="s">
        <v>918</v>
      </c>
      <c r="C52" s="150" t="s">
        <v>967</v>
      </c>
      <c r="D52" s="151" t="s">
        <v>920</v>
      </c>
      <c r="E52" s="151"/>
      <c r="F52" s="151" t="s">
        <v>968</v>
      </c>
      <c r="G52" s="151"/>
    </row>
    <row r="53" customFormat="false" ht="25.35" hidden="false" customHeight="false" outlineLevel="0" collapsed="false">
      <c r="A53" s="151" t="n">
        <v>48</v>
      </c>
      <c r="B53" s="151" t="s">
        <v>918</v>
      </c>
      <c r="C53" s="150" t="s">
        <v>969</v>
      </c>
      <c r="D53" s="151" t="s">
        <v>964</v>
      </c>
      <c r="E53" s="151"/>
      <c r="F53" s="150" t="s">
        <v>970</v>
      </c>
      <c r="G53" s="151" t="s">
        <v>966</v>
      </c>
    </row>
    <row r="54" customFormat="false" ht="25.35" hidden="false" customHeight="false" outlineLevel="0" collapsed="false">
      <c r="A54" s="151" t="n">
        <v>49</v>
      </c>
      <c r="B54" s="151" t="s">
        <v>918</v>
      </c>
      <c r="C54" s="150" t="s">
        <v>971</v>
      </c>
      <c r="D54" s="151" t="s">
        <v>964</v>
      </c>
      <c r="E54" s="150" t="s">
        <v>972</v>
      </c>
      <c r="F54" s="150" t="s">
        <v>973</v>
      </c>
      <c r="G54" s="151" t="s">
        <v>966</v>
      </c>
    </row>
    <row r="55" customFormat="false" ht="15" hidden="false" customHeight="false" outlineLevel="0" collapsed="false">
      <c r="A55" s="151" t="n">
        <v>50</v>
      </c>
      <c r="B55" s="151" t="s">
        <v>918</v>
      </c>
      <c r="C55" s="150" t="s">
        <v>974</v>
      </c>
      <c r="D55" s="151" t="s">
        <v>920</v>
      </c>
      <c r="E55" s="151" t="s">
        <v>975</v>
      </c>
      <c r="F55" s="151" t="s">
        <v>976</v>
      </c>
      <c r="G55" s="151"/>
    </row>
    <row r="56" customFormat="false" ht="15" hidden="false" customHeight="false" outlineLevel="0" collapsed="false">
      <c r="A56" s="151" t="n">
        <v>51</v>
      </c>
      <c r="B56" s="151" t="s">
        <v>918</v>
      </c>
      <c r="C56" s="150" t="s">
        <v>977</v>
      </c>
      <c r="D56" s="151" t="s">
        <v>964</v>
      </c>
      <c r="E56" s="150" t="s">
        <v>978</v>
      </c>
      <c r="F56" s="150" t="s">
        <v>979</v>
      </c>
      <c r="G56" s="151" t="s">
        <v>966</v>
      </c>
    </row>
    <row r="57" customFormat="false" ht="15" hidden="false" customHeight="false" outlineLevel="0" collapsed="false">
      <c r="A57" s="151" t="n">
        <v>52</v>
      </c>
      <c r="B57" s="151" t="s">
        <v>918</v>
      </c>
      <c r="C57" s="150" t="s">
        <v>980</v>
      </c>
      <c r="D57" s="151" t="s">
        <v>964</v>
      </c>
      <c r="E57" s="150" t="s">
        <v>981</v>
      </c>
      <c r="F57" s="150" t="s">
        <v>982</v>
      </c>
      <c r="G57" s="151" t="s">
        <v>966</v>
      </c>
    </row>
    <row r="58" customFormat="false" ht="15" hidden="false" customHeight="false" outlineLevel="0" collapsed="false">
      <c r="A58" s="151" t="n">
        <v>53</v>
      </c>
      <c r="B58" s="151" t="s">
        <v>918</v>
      </c>
      <c r="C58" s="150" t="s">
        <v>983</v>
      </c>
      <c r="D58" s="151" t="s">
        <v>920</v>
      </c>
      <c r="E58" s="150" t="s">
        <v>984</v>
      </c>
      <c r="F58" s="150" t="s">
        <v>985</v>
      </c>
      <c r="G58" s="151"/>
    </row>
    <row r="59" customFormat="false" ht="15" hidden="false" customHeight="false" outlineLevel="0" collapsed="false">
      <c r="A59" s="151" t="n">
        <v>54</v>
      </c>
      <c r="B59" s="151" t="s">
        <v>918</v>
      </c>
      <c r="C59" s="150" t="s">
        <v>986</v>
      </c>
      <c r="D59" s="151" t="s">
        <v>964</v>
      </c>
      <c r="E59" s="150" t="s">
        <v>987</v>
      </c>
      <c r="F59" s="151"/>
      <c r="G59" s="151" t="s">
        <v>966</v>
      </c>
    </row>
    <row r="60" customFormat="false" ht="15" hidden="false" customHeight="false" outlineLevel="0" collapsed="false">
      <c r="A60" s="151" t="n">
        <v>55</v>
      </c>
      <c r="B60" s="151" t="s">
        <v>918</v>
      </c>
      <c r="C60" s="150" t="s">
        <v>988</v>
      </c>
      <c r="D60" s="151" t="s">
        <v>920</v>
      </c>
      <c r="E60" s="151" t="s">
        <v>91</v>
      </c>
      <c r="F60" s="151"/>
      <c r="G60" s="151"/>
    </row>
    <row r="61" customFormat="false" ht="15" hidden="false" customHeight="false" outlineLevel="0" collapsed="false">
      <c r="A61" s="151" t="n">
        <v>56</v>
      </c>
      <c r="B61" s="151" t="s">
        <v>918</v>
      </c>
      <c r="C61" s="150" t="s">
        <v>989</v>
      </c>
      <c r="D61" s="151" t="s">
        <v>964</v>
      </c>
      <c r="E61" s="150" t="s">
        <v>990</v>
      </c>
      <c r="F61" s="151"/>
      <c r="G61" s="151" t="s">
        <v>966</v>
      </c>
    </row>
    <row r="62" customFormat="false" ht="15" hidden="false" customHeight="false" outlineLevel="0" collapsed="false">
      <c r="A62" s="151" t="n">
        <v>57</v>
      </c>
      <c r="B62" s="151" t="s">
        <v>918</v>
      </c>
      <c r="C62" s="150" t="s">
        <v>991</v>
      </c>
      <c r="D62" s="151" t="s">
        <v>964</v>
      </c>
      <c r="E62" s="150" t="s">
        <v>992</v>
      </c>
      <c r="F62" s="151"/>
      <c r="G62" s="151" t="s">
        <v>966</v>
      </c>
    </row>
    <row r="63" customFormat="false" ht="15" hidden="false" customHeight="false" outlineLevel="0" collapsed="false">
      <c r="A63" s="151" t="n">
        <v>58</v>
      </c>
      <c r="B63" s="151" t="s">
        <v>918</v>
      </c>
      <c r="C63" s="150" t="s">
        <v>993</v>
      </c>
      <c r="D63" s="151" t="s">
        <v>920</v>
      </c>
      <c r="E63" s="151" t="s">
        <v>994</v>
      </c>
      <c r="F63" s="151"/>
      <c r="G63" s="151"/>
    </row>
    <row r="64" customFormat="false" ht="15" hidden="false" customHeight="false" outlineLevel="0" collapsed="false">
      <c r="A64" s="151" t="n">
        <v>59</v>
      </c>
      <c r="B64" s="151" t="s">
        <v>995</v>
      </c>
      <c r="C64" s="150" t="s">
        <v>996</v>
      </c>
      <c r="D64" s="151" t="s">
        <v>920</v>
      </c>
      <c r="E64" s="151" t="s">
        <v>997</v>
      </c>
      <c r="F64" s="151" t="s">
        <v>998</v>
      </c>
      <c r="G64" s="151"/>
    </row>
    <row r="65" customFormat="false" ht="25.35" hidden="false" customHeight="false" outlineLevel="0" collapsed="false">
      <c r="A65" s="151" t="n">
        <v>60</v>
      </c>
      <c r="B65" s="151" t="s">
        <v>995</v>
      </c>
      <c r="C65" s="150" t="s">
        <v>999</v>
      </c>
      <c r="D65" s="151" t="s">
        <v>920</v>
      </c>
      <c r="E65" s="151" t="s">
        <v>1000</v>
      </c>
      <c r="F65" s="151" t="s">
        <v>1001</v>
      </c>
      <c r="G65" s="151"/>
    </row>
  </sheetData>
  <autoFilter ref="A5:G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2026-08-02T12:26:04Z</dcterms:created>
  <dc:creator>openpyxl</dc:creator>
  <dc:description/>
  <dc:language>en-US</dc:language>
  <cp:lastModifiedBy>김 산</cp:lastModifiedBy>
  <dcterms:modified xsi:type="dcterms:W3CDTF">2026-10-10T06:30:08Z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